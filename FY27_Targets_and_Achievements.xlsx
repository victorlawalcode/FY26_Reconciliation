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hievement" sheetId="1" r:id="rId4"/>
    <sheet state="visible" name="Target" sheetId="2" r:id="rId5"/>
    <sheet state="visible" name="Inverter Target" sheetId="3" r:id="rId6"/>
    <sheet state="visible" name="Inverter Achievement" sheetId="4" r:id="rId7"/>
    <sheet state="visible" name="PayG Phone Target" sheetId="5" r:id="rId8"/>
    <sheet state="visible" name="PayG Phone Achievement" sheetId="6" r:id="rId9"/>
  </sheets>
  <definedNames>
    <definedName hidden="1" localSheetId="0" name="_xlnm._FilterDatabase">Achievement!$A$1:$J$137</definedName>
    <definedName hidden="1" localSheetId="3" name="_xlnm._FilterDatabase">'Inverter Achievement'!$A$1:$Z$134</definedName>
    <definedName hidden="1" localSheetId="5" name="_xlnm._FilterDatabase">'PayG Phone Achievement'!$A$1:$Z$137</definedName>
  </definedNames>
  <calcPr/>
  <extLst>
    <ext uri="GoogleSheetsCustomDataVersion2">
      <go:sheetsCustomData xmlns:go="http://customooxmlschemas.google.com/" r:id="rId10" roundtripDataChecksum="4kMMvWKKXwaxFVo1MoUXEi27weM20KHHanfG1+c/fEg="/>
    </ext>
  </extLst>
</workbook>
</file>

<file path=xl/sharedStrings.xml><?xml version="1.0" encoding="utf-8"?>
<sst xmlns="http://schemas.openxmlformats.org/spreadsheetml/2006/main" count="2718" uniqueCount="196">
  <si>
    <t>Zone</t>
  </si>
  <si>
    <t>Region</t>
  </si>
  <si>
    <t>Area</t>
  </si>
  <si>
    <t>Accounts Weighted Sales</t>
  </si>
  <si>
    <t>FY27</t>
  </si>
  <si>
    <t>Total</t>
  </si>
  <si>
    <t>East</t>
  </si>
  <si>
    <t>East Central</t>
  </si>
  <si>
    <t>Abudu</t>
  </si>
  <si>
    <t>TFY27</t>
  </si>
  <si>
    <t>Asaba</t>
  </si>
  <si>
    <t>Benin</t>
  </si>
  <si>
    <t>Ikpoba Okha</t>
  </si>
  <si>
    <t>Warri</t>
  </si>
  <si>
    <t>Ughelli</t>
  </si>
  <si>
    <t>Egor</t>
  </si>
  <si>
    <t>% Contribution</t>
  </si>
  <si>
    <t>Idogbo</t>
  </si>
  <si>
    <t>Sapele</t>
  </si>
  <si>
    <t>Warri South</t>
  </si>
  <si>
    <t>Kwale - NG</t>
  </si>
  <si>
    <t>Auchi</t>
  </si>
  <si>
    <t>Ekpoma</t>
  </si>
  <si>
    <t>Igarra</t>
  </si>
  <si>
    <t>South East</t>
  </si>
  <si>
    <t>Awka</t>
  </si>
  <si>
    <t>Owerri</t>
  </si>
  <si>
    <t>Okigwe</t>
  </si>
  <si>
    <t>Afikpo</t>
  </si>
  <si>
    <t>TOTAL</t>
  </si>
  <si>
    <t>Nsukka</t>
  </si>
  <si>
    <t>Umuahia</t>
  </si>
  <si>
    <t>Abakaliki</t>
  </si>
  <si>
    <t>Ihiala</t>
  </si>
  <si>
    <t>Emene</t>
  </si>
  <si>
    <t>South South</t>
  </si>
  <si>
    <t>Rukpokwu</t>
  </si>
  <si>
    <t>Uyo</t>
  </si>
  <si>
    <t>Yenagoa</t>
  </si>
  <si>
    <t>Ikom</t>
  </si>
  <si>
    <t>Ikot Ekpene</t>
  </si>
  <si>
    <t>Ogoja</t>
  </si>
  <si>
    <t>Calabar</t>
  </si>
  <si>
    <t>Eket</t>
  </si>
  <si>
    <t>Eleme</t>
  </si>
  <si>
    <t>Sagbama</t>
  </si>
  <si>
    <t>Okada</t>
  </si>
  <si>
    <t>Obudu</t>
  </si>
  <si>
    <t>Ahoada</t>
  </si>
  <si>
    <t>Oron</t>
  </si>
  <si>
    <t>Lagos</t>
  </si>
  <si>
    <t>Sango</t>
  </si>
  <si>
    <t>Ikorodu</t>
  </si>
  <si>
    <t>Alimosho</t>
  </si>
  <si>
    <t>Ikorodu East</t>
  </si>
  <si>
    <t>Badagry</t>
  </si>
  <si>
    <t>Ipaja Ayobo</t>
  </si>
  <si>
    <t>Ikorodu North</t>
  </si>
  <si>
    <t>Ajah</t>
  </si>
  <si>
    <t>Ogun East</t>
  </si>
  <si>
    <t>Bomadi</t>
  </si>
  <si>
    <t>Ijebu Ode</t>
  </si>
  <si>
    <t>Sagamu</t>
  </si>
  <si>
    <t>Epe</t>
  </si>
  <si>
    <t>Abraka</t>
  </si>
  <si>
    <t>Mowe</t>
  </si>
  <si>
    <t>Alagbole Akute</t>
  </si>
  <si>
    <t>Ijebu East</t>
  </si>
  <si>
    <t>Ogun West</t>
  </si>
  <si>
    <t>Abeokuta</t>
  </si>
  <si>
    <t>Abeokuta South</t>
  </si>
  <si>
    <t>Ifo</t>
  </si>
  <si>
    <t>Ilaro</t>
  </si>
  <si>
    <t>Ihala</t>
  </si>
  <si>
    <t>Ayetoro</t>
  </si>
  <si>
    <t>Abeokuta North</t>
  </si>
  <si>
    <t>Middle Belt</t>
  </si>
  <si>
    <t>Mid North</t>
  </si>
  <si>
    <t>Gwagwalada</t>
  </si>
  <si>
    <t>Abuja</t>
  </si>
  <si>
    <t>Ohaji - Egbemma</t>
  </si>
  <si>
    <t>Lokoja</t>
  </si>
  <si>
    <t>Nasarawa Toto</t>
  </si>
  <si>
    <t>Anyigba</t>
  </si>
  <si>
    <t>Akwanga</t>
  </si>
  <si>
    <t>Lafia</t>
  </si>
  <si>
    <t>Gboko</t>
  </si>
  <si>
    <t>Makurdi</t>
  </si>
  <si>
    <t>Oju</t>
  </si>
  <si>
    <t>Bwari</t>
  </si>
  <si>
    <t>North Central</t>
  </si>
  <si>
    <t>Bida</t>
  </si>
  <si>
    <t>Ohafia</t>
  </si>
  <si>
    <t>Zaria</t>
  </si>
  <si>
    <t>Saminaka</t>
  </si>
  <si>
    <t>Jos</t>
  </si>
  <si>
    <t>Minna</t>
  </si>
  <si>
    <t>Langtan North</t>
  </si>
  <si>
    <t>Kaduna</t>
  </si>
  <si>
    <t>Shendam</t>
  </si>
  <si>
    <t>Makarfi</t>
  </si>
  <si>
    <t>Kaduna North</t>
  </si>
  <si>
    <t>North</t>
  </si>
  <si>
    <t>North East</t>
  </si>
  <si>
    <t>Bauchi</t>
  </si>
  <si>
    <t>Yola</t>
  </si>
  <si>
    <t>Gombe</t>
  </si>
  <si>
    <t>Jalingo</t>
  </si>
  <si>
    <t>Damaturu</t>
  </si>
  <si>
    <t>Mubi</t>
  </si>
  <si>
    <t>Ningi</t>
  </si>
  <si>
    <t>Maiduguri</t>
  </si>
  <si>
    <t>Wukari</t>
  </si>
  <si>
    <t>Tafawa Balewa</t>
  </si>
  <si>
    <t>Potiskum</t>
  </si>
  <si>
    <t>North North</t>
  </si>
  <si>
    <t>Kano2</t>
  </si>
  <si>
    <t>Kano North</t>
  </si>
  <si>
    <t>Hadejia</t>
  </si>
  <si>
    <t>Daura</t>
  </si>
  <si>
    <t>Etim Ekpo</t>
  </si>
  <si>
    <t>Wudil</t>
  </si>
  <si>
    <t>Funtua</t>
  </si>
  <si>
    <t>Dutse</t>
  </si>
  <si>
    <t>North West</t>
  </si>
  <si>
    <t>Kebbi North</t>
  </si>
  <si>
    <t>Sokoto</t>
  </si>
  <si>
    <t>Kontagora</t>
  </si>
  <si>
    <t>Zuru</t>
  </si>
  <si>
    <t>Gusau</t>
  </si>
  <si>
    <t>West</t>
  </si>
  <si>
    <t>Mid West</t>
  </si>
  <si>
    <t>Amuloko</t>
  </si>
  <si>
    <t>Oluyole</t>
  </si>
  <si>
    <t>Akinyele</t>
  </si>
  <si>
    <t>Egbeda</t>
  </si>
  <si>
    <t>Alakia</t>
  </si>
  <si>
    <t>Ido</t>
  </si>
  <si>
    <t>Moniya</t>
  </si>
  <si>
    <t>Eruwa</t>
  </si>
  <si>
    <t>Ido West</t>
  </si>
  <si>
    <t>West West</t>
  </si>
  <si>
    <t>Ilorin</t>
  </si>
  <si>
    <t>Ilorin North</t>
  </si>
  <si>
    <t>West East</t>
  </si>
  <si>
    <t>Akoko</t>
  </si>
  <si>
    <t>Oyo</t>
  </si>
  <si>
    <t>Offa</t>
  </si>
  <si>
    <t>Akure</t>
  </si>
  <si>
    <t>Saki</t>
  </si>
  <si>
    <t>Akure North</t>
  </si>
  <si>
    <t>Ogbomoso</t>
  </si>
  <si>
    <t>Lafiagi</t>
  </si>
  <si>
    <t>Ilorin West</t>
  </si>
  <si>
    <t>Igbokoda</t>
  </si>
  <si>
    <t>West Inland</t>
  </si>
  <si>
    <t>West Central</t>
  </si>
  <si>
    <t>Osogbo</t>
  </si>
  <si>
    <t>Okenne</t>
  </si>
  <si>
    <t>Ado Ekiti</t>
  </si>
  <si>
    <t>Ile Ife</t>
  </si>
  <si>
    <t>Ondo</t>
  </si>
  <si>
    <t>Osogbo North</t>
  </si>
  <si>
    <t>Iwo</t>
  </si>
  <si>
    <t>Ore</t>
  </si>
  <si>
    <t>Ilesha</t>
  </si>
  <si>
    <t>Ikole Ekiti</t>
  </si>
  <si>
    <t>Owo</t>
  </si>
  <si>
    <t>Ikire</t>
  </si>
  <si>
    <t>Ijero Ekiti</t>
  </si>
  <si>
    <t>Ede</t>
  </si>
  <si>
    <t>South West</t>
  </si>
  <si>
    <t>Kuje</t>
  </si>
  <si>
    <t>Ankpa</t>
  </si>
  <si>
    <t>Idah</t>
  </si>
  <si>
    <t>Keffi</t>
  </si>
  <si>
    <t>Mangu</t>
  </si>
  <si>
    <t>Kafanchan</t>
  </si>
  <si>
    <t>Lampatta</t>
  </si>
  <si>
    <t>Toro</t>
  </si>
  <si>
    <t>Funakaye</t>
  </si>
  <si>
    <t>Takum</t>
  </si>
  <si>
    <t>Kaltungo</t>
  </si>
  <si>
    <t>Biu</t>
  </si>
  <si>
    <t>Ganye</t>
  </si>
  <si>
    <t>Katagum</t>
  </si>
  <si>
    <t>Gwarzo</t>
  </si>
  <si>
    <t>Kumbotso</t>
  </si>
  <si>
    <t>Yauri</t>
  </si>
  <si>
    <t>Argungu</t>
  </si>
  <si>
    <t>Tambuwal</t>
  </si>
  <si>
    <t>Orelope</t>
  </si>
  <si>
    <t>Difference</t>
  </si>
  <si>
    <t>Unit Sales</t>
  </si>
  <si>
    <t>WP</t>
  </si>
  <si>
    <t>Igabi (Kaduna North)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</si>
</sst>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mmm-d"/>
    <numFmt numFmtId="166" formatCode="mmmm-d"/>
    <numFmt numFmtId="167" formatCode="yyyy-mm"/>
  </numFmts>
  <fonts count="14">
    <font>
      <sz val="11.0"/>
      <color theme="1"/>
      <name val="Calibri"/>
      <scheme val="minor"/>
    </font>
    <font>
      <sz val="11.0"/>
      <color theme="1"/>
      <name val="Aptos Narrow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Urbanist"/>
    </font>
    <font>
      <b/>
      <sz val="14.0"/>
      <color rgb="FF000000"/>
      <name val="Times"/>
    </font>
    <font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Urbanist"/>
    </font>
    <font>
      <b/>
      <sz val="12.0"/>
      <color rgb="FF000000"/>
      <name val="Calibri"/>
    </font>
    <font>
      <sz val="12.0"/>
      <color rgb="FF000000"/>
      <name val="Calibri"/>
    </font>
    <font>
      <sz val="14.0"/>
      <color rgb="FF000000"/>
      <name val="Times"/>
    </font>
    <font>
      <sz val="11.0"/>
      <color theme="1"/>
      <name val="Arial"/>
    </font>
    <font>
      <sz val="14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EDC42"/>
        <bgColor rgb="FFFEDC42"/>
      </patternFill>
    </fill>
    <fill>
      <patternFill patternType="solid">
        <fgColor rgb="FFFDD734"/>
        <bgColor rgb="FFFDD734"/>
      </patternFill>
    </fill>
    <fill>
      <patternFill patternType="solid">
        <fgColor rgb="FFFFFF00"/>
        <bgColor rgb="FFFFFF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D0E0E3"/>
        <bgColor rgb="FFD0E0E3"/>
      </patternFill>
    </fill>
    <fill>
      <patternFill patternType="solid">
        <fgColor rgb="FFD1E6C9"/>
        <bgColor rgb="FFD1E6C9"/>
      </patternFill>
    </fill>
    <fill>
      <patternFill patternType="solid">
        <fgColor rgb="FFFFFF0B"/>
        <bgColor rgb="FFFFFF0B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3" fontId="5" numFmtId="0" xfId="0" applyAlignment="1" applyBorder="1" applyFill="1" applyFont="1">
      <alignment horizontal="center" readingOrder="0" vertical="bottom"/>
    </xf>
    <xf borderId="0" fillId="0" fontId="6" numFmtId="164" xfId="0" applyFont="1" applyNumberFormat="1"/>
    <xf borderId="1" fillId="2" fontId="1" numFmtId="9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4" fontId="4" numFmtId="17" xfId="0" applyAlignment="1" applyBorder="1" applyFill="1" applyFont="1" applyNumberFormat="1">
      <alignment horizontal="center" shrinkToFit="0" vertical="bottom" wrapText="1"/>
    </xf>
    <xf borderId="1" fillId="3" fontId="5" numFmtId="165" xfId="0" applyAlignment="1" applyBorder="1" applyFill="1" applyFont="1" applyNumberFormat="1">
      <alignment horizontal="center" readingOrder="0" vertical="bottom"/>
    </xf>
    <xf borderId="1" fillId="2" fontId="4" numFmtId="3" xfId="0" applyAlignment="1" applyBorder="1" applyFill="1" applyFont="1" applyNumberFormat="1">
      <alignment horizontal="center" shrinkToFit="0" vertical="bottom" wrapText="1"/>
    </xf>
    <xf borderId="1" fillId="3" fontId="5" numFmtId="166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ill="1" applyFont="1">
      <alignment vertical="bottom"/>
    </xf>
    <xf borderId="1" fillId="5" fontId="7" numFmtId="0" xfId="0" applyAlignment="1" applyBorder="1" applyFill="1" applyFont="1">
      <alignment readingOrder="0" vertical="bottom"/>
    </xf>
    <xf borderId="1" fillId="0" fontId="8" numFmtId="0" xfId="0" applyAlignment="1" applyBorder="1" applyFont="1">
      <alignment vertical="bottom"/>
    </xf>
    <xf borderId="1" fillId="5" fontId="9" numFmtId="0" xfId="0" applyAlignment="1" applyBorder="1" applyFill="1" applyFont="1">
      <alignment readingOrder="0" vertical="bottom"/>
    </xf>
    <xf borderId="1" fillId="0" fontId="8" numFmtId="3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1" fillId="5" fontId="9" numFmtId="167" xfId="0" applyAlignment="1" applyBorder="1" applyFill="1" applyFont="1" applyNumberFormat="1">
      <alignment readingOrder="0" vertical="bottom"/>
    </xf>
    <xf borderId="1" fillId="3" fontId="5" numFmtId="0" xfId="0" applyAlignment="1" applyBorder="1" applyFill="1" applyFont="1">
      <alignment readingOrder="0" vertical="bottom"/>
    </xf>
    <xf borderId="1" fillId="6" fontId="10" numFmtId="0" xfId="0" applyAlignment="1" applyBorder="1" applyFill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7" fontId="8" numFmtId="3" xfId="0" applyAlignment="1" applyBorder="1" applyFill="1" applyFont="1" applyNumberFormat="1">
      <alignment horizontal="right" vertical="bottom"/>
    </xf>
    <xf borderId="1" fillId="0" fontId="10" numFmtId="0" xfId="0" applyAlignment="1" applyBorder="1" applyFont="1">
      <alignment readingOrder="0" vertical="bottom"/>
    </xf>
    <xf borderId="1" fillId="0" fontId="8" numFmtId="10" xfId="0" applyAlignment="1" applyBorder="1" applyFont="1" applyNumberFormat="1">
      <alignment horizontal="right" vertical="bottom"/>
    </xf>
    <xf borderId="1" fillId="8" fontId="11" numFmtId="0" xfId="0" applyAlignment="1" applyBorder="1" applyFill="1" applyFont="1">
      <alignment readingOrder="0" vertical="bottom"/>
    </xf>
    <xf borderId="1" fillId="0" fontId="11" numFmtId="10" xfId="0" applyAlignment="1" applyBorder="1" applyFont="1" applyNumberFormat="1">
      <alignment readingOrder="0" vertical="bottom"/>
    </xf>
    <xf borderId="1" fillId="4" fontId="8" numFmtId="0" xfId="0" applyAlignment="1" applyBorder="1" applyFill="1" applyFont="1">
      <alignment vertical="bottom"/>
    </xf>
    <xf borderId="1" fillId="4" fontId="8" numFmtId="3" xfId="0" applyAlignment="1" applyBorder="1" applyFill="1" applyFont="1" applyNumberFormat="1">
      <alignment horizontal="right" vertical="bottom"/>
    </xf>
    <xf borderId="1" fillId="9" fontId="11" numFmtId="0" xfId="0" applyAlignment="1" applyBorder="1" applyFill="1" applyFont="1">
      <alignment readingOrder="0" vertical="bottom"/>
    </xf>
    <xf borderId="1" fillId="9" fontId="3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horizontal="right" vertical="bottom"/>
    </xf>
    <xf borderId="0" fillId="0" fontId="12" numFmtId="0" xfId="0" applyAlignment="1" applyFont="1">
      <alignment vertical="bottom"/>
    </xf>
    <xf borderId="1" fillId="4" fontId="8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0" fontId="8" numFmtId="17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vertical="bottom"/>
    </xf>
    <xf borderId="1" fillId="0" fontId="8" numFmtId="0" xfId="0" applyAlignment="1" applyBorder="1" applyFont="1">
      <alignment vertical="bottom"/>
    </xf>
    <xf borderId="1" fillId="10" fontId="8" numFmtId="3" xfId="0" applyAlignment="1" applyBorder="1" applyFill="1" applyFont="1" applyNumberFormat="1">
      <alignment horizontal="right" vertical="bottom"/>
    </xf>
    <xf borderId="1" fillId="4" fontId="8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9" xfId="0" applyAlignment="1" applyBorder="1" applyFont="1" applyNumberFormat="1">
      <alignment readingOrder="0" vertical="bottom"/>
    </xf>
    <xf borderId="1" fillId="0" fontId="13" numFmtId="0" xfId="0" applyAlignment="1" applyBorder="1" applyFont="1">
      <alignment readingOrder="0" vertical="bottom"/>
    </xf>
    <xf borderId="1" fillId="0" fontId="11" numFmtId="3" xfId="0" applyAlignment="1" applyBorder="1" applyFont="1" applyNumberFormat="1">
      <alignment readingOrder="0" vertical="bottom"/>
    </xf>
    <xf borderId="1" fillId="4" fontId="1" numFmtId="3" xfId="0" applyAlignment="1" applyBorder="1" applyFill="1" applyFont="1" applyNumberFormat="1">
      <alignment vertical="bottom"/>
    </xf>
    <xf borderId="1" fillId="4" fontId="1" numFmtId="0" xfId="0" applyAlignment="1" applyBorder="1" applyFill="1" applyFont="1">
      <alignment vertical="bottom"/>
    </xf>
    <xf borderId="3" fillId="0" fontId="7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1" fillId="0" fontId="4" numFmtId="3" xfId="0" applyAlignment="1" applyBorder="1" applyFont="1" applyNumberFormat="1">
      <alignment horizontal="right" vertical="bottom"/>
    </xf>
    <xf borderId="3" fillId="0" fontId="9" numFmtId="167" xfId="0" applyAlignment="1" applyBorder="1" applyFont="1" applyNumberFormat="1">
      <alignment readingOrder="0" vertical="bottom"/>
    </xf>
    <xf borderId="1" fillId="7" fontId="4" numFmtId="3" xfId="0" applyAlignment="1" applyBorder="1" applyFill="1" applyFont="1" applyNumberFormat="1">
      <alignment horizontal="right" vertical="bottom"/>
    </xf>
    <xf borderId="3" fillId="0" fontId="10" numFmtId="0" xfId="0" applyAlignment="1" applyBorder="1" applyFont="1">
      <alignment readingOrder="0" vertical="bottom"/>
    </xf>
    <xf borderId="1" fillId="0" fontId="4" numFmtId="9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7" numFmtId="0" xfId="0" applyFont="1"/>
    <xf borderId="0" fillId="0" fontId="8" numFmtId="3" xfId="0" applyAlignment="1" applyFont="1" applyNumberFormat="1">
      <alignment horizontal="right" vertical="bottom"/>
    </xf>
    <xf borderId="1" fillId="10" fontId="4" numFmtId="3" xfId="0" applyAlignment="1" applyBorder="1" applyFill="1" applyFont="1" applyNumberFormat="1">
      <alignment horizontal="right" vertical="bottom"/>
    </xf>
    <xf borderId="0" fillId="0" fontId="12" numFmtId="0" xfId="0" applyAlignment="1" applyFont="1">
      <alignment vertical="bottom"/>
    </xf>
    <xf borderId="1" fillId="0" fontId="1" numFmtId="3" xfId="0" applyAlignment="1" applyBorder="1" applyFont="1" applyNumberFormat="1">
      <alignment horizontal="right" vertical="bottom"/>
    </xf>
    <xf borderId="0" fillId="0" fontId="1" numFmtId="3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71"/>
    <col customWidth="1" min="3" max="3" width="30.86"/>
    <col customWidth="1" min="4" max="4" width="14.86"/>
    <col customWidth="1" min="5" max="8" width="10.71"/>
    <col customWidth="1" min="9" max="9" width="19.86"/>
    <col customWidth="1" min="10" max="10" width="27.14"/>
    <col customWidth="1" min="11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5</v>
      </c>
    </row>
    <row r="2">
      <c r="A2" s="2" t="s">
        <v>6</v>
      </c>
      <c r="B2" s="2" t="s">
        <v>7</v>
      </c>
      <c r="C2" s="2" t="s">
        <v>8</v>
      </c>
      <c r="D2" s="6">
        <v>380.5</v>
      </c>
      <c r="E2" s="6">
        <v>487.5</v>
      </c>
      <c r="F2" s="6">
        <v>466.5</v>
      </c>
      <c r="G2" s="6">
        <v>659.5</v>
      </c>
      <c r="H2" s="6">
        <v>595.0</v>
      </c>
      <c r="I2" s="6">
        <v>517.0</v>
      </c>
      <c r="J2" s="6">
        <v>3106.0</v>
      </c>
    </row>
    <row r="3">
      <c r="A3" s="2" t="s">
        <v>6</v>
      </c>
      <c r="B3" s="2" t="s">
        <v>7</v>
      </c>
      <c r="C3" s="2" t="s">
        <v>10</v>
      </c>
      <c r="D3" s="6">
        <v>1193.0</v>
      </c>
      <c r="E3" s="6">
        <v>1545.5</v>
      </c>
      <c r="F3" s="6">
        <v>1321.5</v>
      </c>
      <c r="G3" s="6">
        <v>1364.5</v>
      </c>
      <c r="H3" s="6">
        <v>1408.0</v>
      </c>
      <c r="I3" s="6">
        <v>1414.0</v>
      </c>
      <c r="J3" s="6">
        <v>8246.5</v>
      </c>
    </row>
    <row r="4">
      <c r="A4" s="2" t="s">
        <v>6</v>
      </c>
      <c r="B4" s="2" t="s">
        <v>7</v>
      </c>
      <c r="C4" s="2" t="s">
        <v>11</v>
      </c>
      <c r="D4" s="6">
        <v>5996.0</v>
      </c>
      <c r="E4" s="6">
        <v>4708.5</v>
      </c>
      <c r="F4" s="6">
        <v>3193.0</v>
      </c>
      <c r="G4" s="6">
        <v>3650.5</v>
      </c>
      <c r="H4" s="6">
        <v>2997.0</v>
      </c>
      <c r="I4" s="6">
        <v>3074.5</v>
      </c>
      <c r="J4" s="6">
        <v>23619.5</v>
      </c>
    </row>
    <row r="5">
      <c r="A5" s="2" t="s">
        <v>6</v>
      </c>
      <c r="B5" s="2" t="s">
        <v>7</v>
      </c>
      <c r="C5" s="2" t="s">
        <v>12</v>
      </c>
      <c r="D5" s="6">
        <v>5228.5</v>
      </c>
      <c r="E5" s="6">
        <v>5118.5</v>
      </c>
      <c r="F5" s="6">
        <v>2893.0</v>
      </c>
      <c r="G5" s="6">
        <v>3689.5</v>
      </c>
      <c r="H5" s="6">
        <v>3383.5</v>
      </c>
      <c r="I5" s="6">
        <v>3140.5</v>
      </c>
      <c r="J5" s="6">
        <v>23453.5</v>
      </c>
    </row>
    <row r="6">
      <c r="A6" s="2" t="s">
        <v>6</v>
      </c>
      <c r="B6" s="2" t="s">
        <v>7</v>
      </c>
      <c r="C6" s="2" t="s">
        <v>13</v>
      </c>
      <c r="D6" s="6">
        <v>5272.5</v>
      </c>
      <c r="E6" s="6">
        <v>4699.5</v>
      </c>
      <c r="F6" s="6">
        <v>2842.5</v>
      </c>
      <c r="G6" s="6">
        <v>3438.0</v>
      </c>
      <c r="H6" s="6">
        <v>3087.0</v>
      </c>
      <c r="I6" s="6">
        <v>4013.5</v>
      </c>
      <c r="J6" s="6">
        <v>23353.0</v>
      </c>
    </row>
    <row r="7">
      <c r="A7" s="2" t="s">
        <v>6</v>
      </c>
      <c r="B7" s="2" t="s">
        <v>7</v>
      </c>
      <c r="C7" s="2" t="s">
        <v>14</v>
      </c>
      <c r="D7" s="6">
        <v>3307.0</v>
      </c>
      <c r="E7" s="6">
        <v>2827.5</v>
      </c>
      <c r="F7" s="6">
        <v>2098.0</v>
      </c>
      <c r="G7" s="6">
        <v>2548.5</v>
      </c>
      <c r="H7" s="6">
        <v>2232.5</v>
      </c>
      <c r="I7" s="6">
        <v>2599.0</v>
      </c>
      <c r="J7" s="6">
        <v>15612.5</v>
      </c>
    </row>
    <row r="8">
      <c r="A8" s="2" t="s">
        <v>6</v>
      </c>
      <c r="B8" s="2" t="s">
        <v>7</v>
      </c>
      <c r="C8" s="2" t="s">
        <v>15</v>
      </c>
      <c r="D8" s="6">
        <v>2772.0</v>
      </c>
      <c r="E8" s="6">
        <v>2656.0</v>
      </c>
      <c r="F8" s="6">
        <v>1905.0</v>
      </c>
      <c r="G8" s="6">
        <v>2204.5</v>
      </c>
      <c r="H8" s="6">
        <v>1937.0</v>
      </c>
      <c r="I8" s="6">
        <v>2009.5</v>
      </c>
      <c r="J8" s="6">
        <v>13484.0</v>
      </c>
    </row>
    <row r="9">
      <c r="A9" s="2" t="s">
        <v>6</v>
      </c>
      <c r="B9" s="2" t="s">
        <v>7</v>
      </c>
      <c r="C9" s="2" t="s">
        <v>17</v>
      </c>
      <c r="D9" s="6">
        <v>2519.5</v>
      </c>
      <c r="E9" s="6">
        <v>2571.5</v>
      </c>
      <c r="F9" s="6">
        <v>1643.0</v>
      </c>
      <c r="G9" s="6">
        <v>2197.5</v>
      </c>
      <c r="H9" s="6">
        <v>2091.5</v>
      </c>
      <c r="I9" s="6">
        <v>2377.0</v>
      </c>
      <c r="J9" s="6">
        <v>13400.0</v>
      </c>
    </row>
    <row r="10">
      <c r="A10" s="2" t="s">
        <v>6</v>
      </c>
      <c r="B10" s="2" t="s">
        <v>7</v>
      </c>
      <c r="C10" s="2" t="s">
        <v>18</v>
      </c>
      <c r="D10" s="6">
        <v>2887.0</v>
      </c>
      <c r="E10" s="6">
        <v>2217.5</v>
      </c>
      <c r="F10" s="6">
        <v>1695.5</v>
      </c>
      <c r="G10" s="6">
        <v>2071.0</v>
      </c>
      <c r="H10" s="6">
        <v>1494.5</v>
      </c>
      <c r="I10" s="6">
        <v>1763.5</v>
      </c>
      <c r="J10" s="6">
        <v>12129.0</v>
      </c>
    </row>
    <row r="11">
      <c r="A11" s="2" t="s">
        <v>6</v>
      </c>
      <c r="B11" s="2" t="s">
        <v>7</v>
      </c>
      <c r="C11" s="2" t="s">
        <v>19</v>
      </c>
      <c r="D11" s="6">
        <v>2250.5</v>
      </c>
      <c r="E11" s="6">
        <v>1963.0</v>
      </c>
      <c r="F11" s="6">
        <v>1256.0</v>
      </c>
      <c r="G11" s="6">
        <v>1734.0</v>
      </c>
      <c r="H11" s="6">
        <v>1651.5</v>
      </c>
      <c r="I11" s="6">
        <v>1803.5</v>
      </c>
      <c r="J11" s="6">
        <v>10658.5</v>
      </c>
    </row>
    <row r="12">
      <c r="A12" s="2" t="s">
        <v>6</v>
      </c>
      <c r="B12" s="2" t="s">
        <v>7</v>
      </c>
      <c r="C12" s="2" t="s">
        <v>20</v>
      </c>
      <c r="D12" s="6">
        <v>1687.5</v>
      </c>
      <c r="E12" s="6">
        <v>1962.5</v>
      </c>
      <c r="F12" s="6">
        <v>1636.0</v>
      </c>
      <c r="G12" s="6">
        <v>1516.0</v>
      </c>
      <c r="H12" s="6">
        <v>1378.0</v>
      </c>
      <c r="I12" s="6">
        <v>1392.5</v>
      </c>
      <c r="J12" s="6">
        <v>9572.5</v>
      </c>
    </row>
    <row r="13">
      <c r="A13" s="2" t="s">
        <v>6</v>
      </c>
      <c r="B13" s="2" t="s">
        <v>7</v>
      </c>
      <c r="C13" s="2" t="s">
        <v>21</v>
      </c>
      <c r="D13" s="6">
        <v>1136.5</v>
      </c>
      <c r="E13" s="6">
        <v>1238.0</v>
      </c>
      <c r="F13" s="6">
        <v>909.5</v>
      </c>
      <c r="G13" s="6">
        <v>1062.5</v>
      </c>
      <c r="H13" s="6">
        <v>1248.5</v>
      </c>
      <c r="I13" s="6">
        <v>1295.5</v>
      </c>
      <c r="J13" s="6">
        <v>6890.5</v>
      </c>
    </row>
    <row r="14">
      <c r="A14" s="2" t="s">
        <v>6</v>
      </c>
      <c r="B14" s="2" t="s">
        <v>7</v>
      </c>
      <c r="C14" s="2" t="s">
        <v>22</v>
      </c>
      <c r="D14" s="6">
        <v>781.0</v>
      </c>
      <c r="E14" s="6">
        <v>759.0</v>
      </c>
      <c r="F14" s="6">
        <v>651.0</v>
      </c>
      <c r="G14" s="6">
        <v>862.0</v>
      </c>
      <c r="H14" s="6">
        <v>814.5</v>
      </c>
      <c r="I14" s="6">
        <v>897.0</v>
      </c>
      <c r="J14" s="6">
        <v>4764.5</v>
      </c>
    </row>
    <row r="15">
      <c r="A15" s="2" t="s">
        <v>6</v>
      </c>
      <c r="B15" s="2" t="s">
        <v>7</v>
      </c>
      <c r="C15" s="2" t="s">
        <v>23</v>
      </c>
      <c r="D15" s="6">
        <v>533.5</v>
      </c>
      <c r="E15" s="6">
        <v>612.0</v>
      </c>
      <c r="F15" s="6">
        <v>450.0</v>
      </c>
      <c r="G15" s="6">
        <v>527.0</v>
      </c>
      <c r="H15" s="6">
        <v>518.0</v>
      </c>
      <c r="I15" s="6">
        <v>535.5</v>
      </c>
      <c r="J15" s="6">
        <v>3176.0</v>
      </c>
    </row>
    <row r="16">
      <c r="A16" s="2" t="s">
        <v>6</v>
      </c>
      <c r="B16" s="2" t="s">
        <v>24</v>
      </c>
      <c r="C16" s="2" t="s">
        <v>25</v>
      </c>
      <c r="D16" s="6">
        <v>868.5</v>
      </c>
      <c r="E16" s="6">
        <v>1422.5</v>
      </c>
      <c r="F16" s="6">
        <v>1277.0</v>
      </c>
      <c r="G16" s="6">
        <v>1328.5</v>
      </c>
      <c r="H16" s="6">
        <v>1341.5</v>
      </c>
      <c r="I16" s="6">
        <v>1531.0</v>
      </c>
      <c r="J16" s="6">
        <v>7769.0</v>
      </c>
    </row>
    <row r="17">
      <c r="A17" s="2" t="s">
        <v>6</v>
      </c>
      <c r="B17" s="2" t="s">
        <v>24</v>
      </c>
      <c r="C17" s="2" t="s">
        <v>26</v>
      </c>
      <c r="D17" s="6">
        <v>553.0</v>
      </c>
      <c r="E17" s="6">
        <v>1002.0</v>
      </c>
      <c r="F17" s="6">
        <v>816.0</v>
      </c>
      <c r="G17" s="6">
        <v>766.0</v>
      </c>
      <c r="H17" s="6">
        <v>1010.0</v>
      </c>
      <c r="I17" s="6">
        <v>907.0</v>
      </c>
      <c r="J17" s="6">
        <v>5054.0</v>
      </c>
    </row>
    <row r="18">
      <c r="A18" s="2" t="s">
        <v>6</v>
      </c>
      <c r="B18" s="2" t="s">
        <v>24</v>
      </c>
      <c r="C18" s="2" t="s">
        <v>27</v>
      </c>
      <c r="D18" s="6">
        <v>487.0</v>
      </c>
      <c r="E18" s="6">
        <v>657.0</v>
      </c>
      <c r="F18" s="6">
        <v>906.5</v>
      </c>
      <c r="G18" s="6">
        <v>1006.5</v>
      </c>
      <c r="H18" s="6">
        <v>865.5</v>
      </c>
      <c r="I18" s="6">
        <v>866.0</v>
      </c>
      <c r="J18" s="6">
        <v>4788.5</v>
      </c>
    </row>
    <row r="19">
      <c r="A19" s="2" t="s">
        <v>6</v>
      </c>
      <c r="B19" s="2" t="s">
        <v>24</v>
      </c>
      <c r="C19" s="2" t="s">
        <v>28</v>
      </c>
      <c r="D19" s="6">
        <v>504.5</v>
      </c>
      <c r="E19" s="6">
        <v>849.0</v>
      </c>
      <c r="F19" s="6">
        <v>783.5</v>
      </c>
      <c r="G19" s="6">
        <v>943.5</v>
      </c>
      <c r="H19" s="6">
        <v>764.5</v>
      </c>
      <c r="I19" s="6">
        <v>718.0</v>
      </c>
      <c r="J19" s="6">
        <v>4563.0</v>
      </c>
    </row>
    <row r="20" ht="15.75" customHeight="1">
      <c r="A20" s="2" t="s">
        <v>6</v>
      </c>
      <c r="B20" s="2" t="s">
        <v>24</v>
      </c>
      <c r="C20" s="2" t="s">
        <v>30</v>
      </c>
      <c r="D20" s="6">
        <v>498.0</v>
      </c>
      <c r="E20" s="6">
        <v>697.5</v>
      </c>
      <c r="F20" s="6">
        <v>845.0</v>
      </c>
      <c r="G20" s="6">
        <v>789.0</v>
      </c>
      <c r="H20" s="6">
        <v>561.0</v>
      </c>
      <c r="I20" s="6">
        <v>601.5</v>
      </c>
      <c r="J20" s="6">
        <v>3992.0</v>
      </c>
    </row>
    <row r="21" ht="15.75" customHeight="1">
      <c r="A21" s="2" t="s">
        <v>6</v>
      </c>
      <c r="B21" s="2" t="s">
        <v>24</v>
      </c>
      <c r="C21" s="2" t="s">
        <v>31</v>
      </c>
      <c r="D21" s="6">
        <v>418.5</v>
      </c>
      <c r="E21" s="6">
        <v>641.5</v>
      </c>
      <c r="F21" s="6">
        <v>644.5</v>
      </c>
      <c r="G21" s="6">
        <v>629.5</v>
      </c>
      <c r="H21" s="6">
        <v>654.0</v>
      </c>
      <c r="I21" s="6">
        <v>648.5</v>
      </c>
      <c r="J21" s="6">
        <v>3636.5</v>
      </c>
    </row>
    <row r="22" ht="15.75" customHeight="1">
      <c r="A22" s="2" t="s">
        <v>6</v>
      </c>
      <c r="B22" s="2" t="s">
        <v>24</v>
      </c>
      <c r="C22" s="2" t="s">
        <v>32</v>
      </c>
      <c r="D22" s="6">
        <v>316.0</v>
      </c>
      <c r="E22" s="6">
        <v>465.0</v>
      </c>
      <c r="F22" s="6">
        <v>438.5</v>
      </c>
      <c r="G22" s="6">
        <v>651.0</v>
      </c>
      <c r="H22" s="6">
        <v>549.5</v>
      </c>
      <c r="I22" s="6">
        <v>615.0</v>
      </c>
      <c r="J22" s="6">
        <v>3035.0</v>
      </c>
    </row>
    <row r="23" ht="15.75" customHeight="1">
      <c r="A23" s="2" t="s">
        <v>6</v>
      </c>
      <c r="B23" s="2" t="s">
        <v>24</v>
      </c>
      <c r="C23" s="2" t="s">
        <v>33</v>
      </c>
      <c r="D23" s="6"/>
      <c r="E23" s="6"/>
      <c r="F23" s="6"/>
      <c r="G23" s="6">
        <v>183.0</v>
      </c>
      <c r="H23" s="6">
        <v>253.0</v>
      </c>
      <c r="I23" s="6">
        <v>373.5</v>
      </c>
      <c r="J23" s="6">
        <v>809.5</v>
      </c>
    </row>
    <row r="24" ht="15.75" customHeight="1">
      <c r="A24" s="2" t="s">
        <v>6</v>
      </c>
      <c r="B24" s="2" t="s">
        <v>24</v>
      </c>
      <c r="C24" s="2" t="s">
        <v>34</v>
      </c>
      <c r="D24" s="6"/>
      <c r="E24" s="6"/>
      <c r="F24" s="6"/>
      <c r="G24" s="6"/>
      <c r="H24" s="6">
        <v>172.0</v>
      </c>
      <c r="I24" s="6">
        <v>326.0</v>
      </c>
      <c r="J24" s="6">
        <v>498.0</v>
      </c>
    </row>
    <row r="25" ht="15.75" customHeight="1">
      <c r="A25" s="2" t="s">
        <v>6</v>
      </c>
      <c r="B25" s="2" t="s">
        <v>35</v>
      </c>
      <c r="C25" s="2" t="s">
        <v>36</v>
      </c>
      <c r="D25" s="6">
        <v>2128.0</v>
      </c>
      <c r="E25" s="6">
        <v>2429.5</v>
      </c>
      <c r="F25" s="6">
        <v>2043.0</v>
      </c>
      <c r="G25" s="6">
        <v>2197.0</v>
      </c>
      <c r="H25" s="6">
        <v>2013.5</v>
      </c>
      <c r="I25" s="6">
        <v>2099.0</v>
      </c>
      <c r="J25" s="6">
        <v>12910.0</v>
      </c>
    </row>
    <row r="26" ht="15.75" customHeight="1">
      <c r="A26" s="2" t="s">
        <v>6</v>
      </c>
      <c r="B26" s="2" t="s">
        <v>35</v>
      </c>
      <c r="C26" s="2" t="s">
        <v>37</v>
      </c>
      <c r="D26" s="6">
        <v>1254.0</v>
      </c>
      <c r="E26" s="6">
        <v>1280.0</v>
      </c>
      <c r="F26" s="6">
        <v>1324.5</v>
      </c>
      <c r="G26" s="6">
        <v>1238.5</v>
      </c>
      <c r="H26" s="6">
        <v>1203.5</v>
      </c>
      <c r="I26" s="6">
        <v>1230.0</v>
      </c>
      <c r="J26" s="6">
        <v>7530.5</v>
      </c>
    </row>
    <row r="27" ht="15.75" customHeight="1">
      <c r="A27" s="2" t="s">
        <v>6</v>
      </c>
      <c r="B27" s="2" t="s">
        <v>35</v>
      </c>
      <c r="C27" s="2" t="s">
        <v>38</v>
      </c>
      <c r="D27" s="6">
        <v>1099.5</v>
      </c>
      <c r="E27" s="6">
        <v>1464.0</v>
      </c>
      <c r="F27" s="6">
        <v>1122.0</v>
      </c>
      <c r="G27" s="6">
        <v>1358.0</v>
      </c>
      <c r="H27" s="6">
        <v>1158.5</v>
      </c>
      <c r="I27" s="6">
        <v>1322.5</v>
      </c>
      <c r="J27" s="6">
        <v>7524.5</v>
      </c>
    </row>
    <row r="28" ht="15.75" customHeight="1">
      <c r="A28" s="2" t="s">
        <v>6</v>
      </c>
      <c r="B28" s="2" t="s">
        <v>35</v>
      </c>
      <c r="C28" s="2" t="s">
        <v>39</v>
      </c>
      <c r="D28" s="6">
        <v>930.0</v>
      </c>
      <c r="E28" s="6">
        <v>1106.5</v>
      </c>
      <c r="F28" s="6">
        <v>1015.5</v>
      </c>
      <c r="G28" s="6">
        <v>1407.5</v>
      </c>
      <c r="H28" s="6">
        <v>1426.0</v>
      </c>
      <c r="I28" s="6">
        <v>1186.0</v>
      </c>
      <c r="J28" s="6">
        <v>7071.5</v>
      </c>
    </row>
    <row r="29" ht="15.75" customHeight="1">
      <c r="A29" s="2" t="s">
        <v>6</v>
      </c>
      <c r="B29" s="2" t="s">
        <v>35</v>
      </c>
      <c r="C29" s="2" t="s">
        <v>40</v>
      </c>
      <c r="D29" s="6">
        <v>1126.0</v>
      </c>
      <c r="E29" s="6">
        <v>1469.0</v>
      </c>
      <c r="F29" s="6">
        <v>1128.5</v>
      </c>
      <c r="G29" s="6">
        <v>1204.5</v>
      </c>
      <c r="H29" s="6">
        <v>799.5</v>
      </c>
      <c r="I29" s="6">
        <v>922.5</v>
      </c>
      <c r="J29" s="6">
        <v>6650.0</v>
      </c>
    </row>
    <row r="30" ht="15.75" customHeight="1">
      <c r="A30" s="2" t="s">
        <v>6</v>
      </c>
      <c r="B30" s="2" t="s">
        <v>35</v>
      </c>
      <c r="C30" s="2" t="s">
        <v>41</v>
      </c>
      <c r="D30" s="6">
        <v>591.0</v>
      </c>
      <c r="E30" s="6">
        <v>852.0</v>
      </c>
      <c r="F30" s="6">
        <v>872.5</v>
      </c>
      <c r="G30" s="6">
        <v>1060.5</v>
      </c>
      <c r="H30" s="6">
        <v>1069.0</v>
      </c>
      <c r="I30" s="6">
        <v>950.0</v>
      </c>
      <c r="J30" s="6">
        <v>5395.0</v>
      </c>
    </row>
    <row r="31" ht="15.75" customHeight="1">
      <c r="A31" s="2" t="s">
        <v>6</v>
      </c>
      <c r="B31" s="2" t="s">
        <v>35</v>
      </c>
      <c r="C31" s="2" t="s">
        <v>42</v>
      </c>
      <c r="D31" s="6">
        <v>831.0</v>
      </c>
      <c r="E31" s="6">
        <v>1119.0</v>
      </c>
      <c r="F31" s="6">
        <v>894.0</v>
      </c>
      <c r="G31" s="6">
        <v>816.0</v>
      </c>
      <c r="H31" s="6">
        <v>840.0</v>
      </c>
      <c r="I31" s="6">
        <v>844.5</v>
      </c>
      <c r="J31" s="6">
        <v>5344.5</v>
      </c>
    </row>
    <row r="32" ht="15.75" customHeight="1">
      <c r="A32" s="2" t="s">
        <v>6</v>
      </c>
      <c r="B32" s="2" t="s">
        <v>35</v>
      </c>
      <c r="C32" s="2" t="s">
        <v>43</v>
      </c>
      <c r="D32" s="6">
        <v>717.0</v>
      </c>
      <c r="E32" s="6">
        <v>881.5</v>
      </c>
      <c r="F32" s="6">
        <v>946.0</v>
      </c>
      <c r="G32" s="6">
        <v>982.0</v>
      </c>
      <c r="H32" s="6">
        <v>867.0</v>
      </c>
      <c r="I32" s="6">
        <v>888.0</v>
      </c>
      <c r="J32" s="6">
        <v>5281.5</v>
      </c>
    </row>
    <row r="33" ht="15.75" customHeight="1">
      <c r="A33" s="2" t="s">
        <v>6</v>
      </c>
      <c r="B33" s="2" t="s">
        <v>35</v>
      </c>
      <c r="C33" s="2" t="s">
        <v>44</v>
      </c>
      <c r="D33" s="6">
        <v>721.0</v>
      </c>
      <c r="E33" s="6">
        <v>930.0</v>
      </c>
      <c r="F33" s="6">
        <v>875.0</v>
      </c>
      <c r="G33" s="6">
        <v>855.0</v>
      </c>
      <c r="H33" s="6">
        <v>790.5</v>
      </c>
      <c r="I33" s="6">
        <v>839.5</v>
      </c>
      <c r="J33" s="6">
        <v>5011.0</v>
      </c>
    </row>
    <row r="34" ht="15.75" customHeight="1">
      <c r="A34" s="2" t="s">
        <v>6</v>
      </c>
      <c r="B34" s="2" t="s">
        <v>35</v>
      </c>
      <c r="C34" s="2" t="s">
        <v>45</v>
      </c>
      <c r="D34" s="6">
        <v>543.0</v>
      </c>
      <c r="E34" s="6">
        <v>691.5</v>
      </c>
      <c r="F34" s="6">
        <v>663.0</v>
      </c>
      <c r="G34" s="6">
        <v>801.0</v>
      </c>
      <c r="H34" s="6">
        <v>618.0</v>
      </c>
      <c r="I34" s="6">
        <v>766.5</v>
      </c>
      <c r="J34" s="6">
        <v>4083.0</v>
      </c>
    </row>
    <row r="35" ht="15.75" customHeight="1">
      <c r="A35" s="2" t="s">
        <v>6</v>
      </c>
      <c r="B35" s="2" t="s">
        <v>35</v>
      </c>
      <c r="C35" s="2" t="s">
        <v>47</v>
      </c>
      <c r="D35" s="6">
        <v>270.0</v>
      </c>
      <c r="E35" s="6">
        <v>388.0</v>
      </c>
      <c r="F35" s="6">
        <v>427.0</v>
      </c>
      <c r="G35" s="6">
        <v>765.5</v>
      </c>
      <c r="H35" s="6">
        <v>996.5</v>
      </c>
      <c r="I35" s="6">
        <v>703.0</v>
      </c>
      <c r="J35" s="6">
        <v>3550.0</v>
      </c>
    </row>
    <row r="36" ht="15.75" customHeight="1">
      <c r="A36" s="2" t="s">
        <v>6</v>
      </c>
      <c r="B36" s="2" t="s">
        <v>35</v>
      </c>
      <c r="C36" s="2" t="s">
        <v>48</v>
      </c>
      <c r="D36" s="6">
        <v>393.0</v>
      </c>
      <c r="E36" s="6">
        <v>518.0</v>
      </c>
      <c r="F36" s="6">
        <v>434.5</v>
      </c>
      <c r="G36" s="6">
        <v>502.0</v>
      </c>
      <c r="H36" s="6">
        <v>512.5</v>
      </c>
      <c r="I36" s="6">
        <v>591.5</v>
      </c>
      <c r="J36" s="6">
        <v>2951.5</v>
      </c>
    </row>
    <row r="37" ht="15.75" customHeight="1">
      <c r="A37" s="2" t="s">
        <v>6</v>
      </c>
      <c r="B37" s="2" t="s">
        <v>35</v>
      </c>
      <c r="C37" s="2" t="s">
        <v>49</v>
      </c>
      <c r="D37" s="6"/>
      <c r="E37" s="6"/>
      <c r="F37" s="6"/>
      <c r="G37" s="6"/>
      <c r="H37" s="6">
        <v>134.5</v>
      </c>
      <c r="I37" s="6">
        <v>644.5</v>
      </c>
      <c r="J37" s="6">
        <v>779.0</v>
      </c>
    </row>
    <row r="38" ht="15.75" customHeight="1">
      <c r="A38" s="2" t="s">
        <v>50</v>
      </c>
      <c r="B38" s="2" t="s">
        <v>50</v>
      </c>
      <c r="C38" s="2" t="s">
        <v>51</v>
      </c>
      <c r="D38" s="6">
        <v>3458.0</v>
      </c>
      <c r="E38" s="6">
        <v>3267.0</v>
      </c>
      <c r="F38" s="6">
        <v>2427.5</v>
      </c>
      <c r="G38" s="6">
        <v>2699.5</v>
      </c>
      <c r="H38" s="6">
        <v>2699.0</v>
      </c>
      <c r="I38" s="6">
        <v>3086.5</v>
      </c>
      <c r="J38" s="6">
        <v>17637.5</v>
      </c>
    </row>
    <row r="39" ht="15.75" customHeight="1">
      <c r="A39" s="2" t="s">
        <v>50</v>
      </c>
      <c r="B39" s="2" t="s">
        <v>50</v>
      </c>
      <c r="C39" s="2" t="s">
        <v>52</v>
      </c>
      <c r="D39" s="6">
        <v>2873.5</v>
      </c>
      <c r="E39" s="6">
        <v>1809.0</v>
      </c>
      <c r="F39" s="6">
        <v>1704.5</v>
      </c>
      <c r="G39" s="6">
        <v>2208.5</v>
      </c>
      <c r="H39" s="6">
        <v>1759.0</v>
      </c>
      <c r="I39" s="6">
        <v>1785.0</v>
      </c>
      <c r="J39" s="6">
        <v>12139.5</v>
      </c>
    </row>
    <row r="40" ht="15.75" customHeight="1">
      <c r="A40" s="2" t="s">
        <v>50</v>
      </c>
      <c r="B40" s="2" t="s">
        <v>50</v>
      </c>
      <c r="C40" s="2" t="s">
        <v>53</v>
      </c>
      <c r="D40" s="6">
        <v>2074.5</v>
      </c>
      <c r="E40" s="6">
        <v>1778.5</v>
      </c>
      <c r="F40" s="6">
        <v>1698.0</v>
      </c>
      <c r="G40" s="6">
        <v>1617.0</v>
      </c>
      <c r="H40" s="6">
        <v>1373.5</v>
      </c>
      <c r="I40" s="6">
        <v>1596.0</v>
      </c>
      <c r="J40" s="6">
        <v>10137.5</v>
      </c>
    </row>
    <row r="41" ht="15.75" customHeight="1">
      <c r="A41" s="2" t="s">
        <v>50</v>
      </c>
      <c r="B41" s="2" t="s">
        <v>50</v>
      </c>
      <c r="C41" s="2" t="s">
        <v>54</v>
      </c>
      <c r="D41" s="6">
        <v>2413.5</v>
      </c>
      <c r="E41" s="6">
        <v>1792.0</v>
      </c>
      <c r="F41" s="6">
        <v>1513.5</v>
      </c>
      <c r="G41" s="6">
        <v>1447.5</v>
      </c>
      <c r="H41" s="6">
        <v>1027.0</v>
      </c>
      <c r="I41" s="6">
        <v>968.0</v>
      </c>
      <c r="J41" s="6">
        <v>9161.5</v>
      </c>
    </row>
    <row r="42" ht="15.75" customHeight="1">
      <c r="A42" s="2" t="s">
        <v>50</v>
      </c>
      <c r="B42" s="2" t="s">
        <v>50</v>
      </c>
      <c r="C42" s="2" t="s">
        <v>55</v>
      </c>
      <c r="D42" s="6">
        <v>1728.0</v>
      </c>
      <c r="E42" s="6">
        <v>1685.5</v>
      </c>
      <c r="F42" s="6">
        <v>1416.5</v>
      </c>
      <c r="G42" s="6">
        <v>1572.0</v>
      </c>
      <c r="H42" s="6">
        <v>1262.5</v>
      </c>
      <c r="I42" s="6">
        <v>1360.5</v>
      </c>
      <c r="J42" s="6">
        <v>9025.0</v>
      </c>
    </row>
    <row r="43" ht="15.75" customHeight="1">
      <c r="A43" s="2" t="s">
        <v>50</v>
      </c>
      <c r="B43" s="2" t="s">
        <v>50</v>
      </c>
      <c r="C43" s="2" t="s">
        <v>56</v>
      </c>
      <c r="D43" s="6">
        <v>1831.5</v>
      </c>
      <c r="E43" s="6">
        <v>1431.0</v>
      </c>
      <c r="F43" s="6">
        <v>894.0</v>
      </c>
      <c r="G43" s="6">
        <v>1140.5</v>
      </c>
      <c r="H43" s="6">
        <v>923.0</v>
      </c>
      <c r="I43" s="6">
        <v>1152.5</v>
      </c>
      <c r="J43" s="6">
        <v>7372.5</v>
      </c>
    </row>
    <row r="44" ht="15.75" customHeight="1">
      <c r="A44" s="2" t="s">
        <v>50</v>
      </c>
      <c r="B44" s="2" t="s">
        <v>50</v>
      </c>
      <c r="C44" s="2" t="s">
        <v>57</v>
      </c>
      <c r="D44" s="6">
        <v>1833.5</v>
      </c>
      <c r="E44" s="6">
        <v>1410.5</v>
      </c>
      <c r="F44" s="6">
        <v>1244.5</v>
      </c>
      <c r="G44" s="6">
        <v>1140.5</v>
      </c>
      <c r="H44" s="6">
        <v>703.0</v>
      </c>
      <c r="I44" s="6">
        <v>890.0</v>
      </c>
      <c r="J44" s="6">
        <v>7222.0</v>
      </c>
    </row>
    <row r="45" ht="15.75" customHeight="1">
      <c r="A45" s="2" t="s">
        <v>50</v>
      </c>
      <c r="B45" s="2" t="s">
        <v>50</v>
      </c>
      <c r="C45" s="2" t="s">
        <v>58</v>
      </c>
      <c r="D45" s="6">
        <v>1274.0</v>
      </c>
      <c r="E45" s="6">
        <v>1159.5</v>
      </c>
      <c r="F45" s="6">
        <v>846.0</v>
      </c>
      <c r="G45" s="6">
        <v>1005.0</v>
      </c>
      <c r="H45" s="6">
        <v>785.5</v>
      </c>
      <c r="I45" s="6">
        <v>922.5</v>
      </c>
      <c r="J45" s="6">
        <v>5992.5</v>
      </c>
    </row>
    <row r="46" ht="15.75" customHeight="1">
      <c r="A46" s="2" t="s">
        <v>50</v>
      </c>
      <c r="B46" s="2" t="s">
        <v>59</v>
      </c>
      <c r="C46" s="2" t="s">
        <v>61</v>
      </c>
      <c r="D46" s="6">
        <v>5536.5</v>
      </c>
      <c r="E46" s="6">
        <v>4080.5</v>
      </c>
      <c r="F46" s="6">
        <v>2585.5</v>
      </c>
      <c r="G46" s="6">
        <v>3454.0</v>
      </c>
      <c r="H46" s="6">
        <v>3206.5</v>
      </c>
      <c r="I46" s="6">
        <v>3563.5</v>
      </c>
      <c r="J46" s="6">
        <v>22426.5</v>
      </c>
    </row>
    <row r="47" ht="15.75" customHeight="1">
      <c r="A47" s="2" t="s">
        <v>50</v>
      </c>
      <c r="B47" s="2" t="s">
        <v>59</v>
      </c>
      <c r="C47" s="2" t="s">
        <v>62</v>
      </c>
      <c r="D47" s="6">
        <v>4437.5</v>
      </c>
      <c r="E47" s="6">
        <v>3370.5</v>
      </c>
      <c r="F47" s="6">
        <v>2097.0</v>
      </c>
      <c r="G47" s="6">
        <v>2641.5</v>
      </c>
      <c r="H47" s="6">
        <v>2478.0</v>
      </c>
      <c r="I47" s="6">
        <v>2414.0</v>
      </c>
      <c r="J47" s="6">
        <v>17438.5</v>
      </c>
    </row>
    <row r="48" ht="15.75" customHeight="1">
      <c r="A48" s="2" t="s">
        <v>50</v>
      </c>
      <c r="B48" s="2" t="s">
        <v>59</v>
      </c>
      <c r="C48" s="2" t="s">
        <v>63</v>
      </c>
      <c r="D48" s="6">
        <v>3135.0</v>
      </c>
      <c r="E48" s="6">
        <v>2566.0</v>
      </c>
      <c r="F48" s="6">
        <v>1906.5</v>
      </c>
      <c r="G48" s="6">
        <v>2424.5</v>
      </c>
      <c r="H48" s="6">
        <v>1782.0</v>
      </c>
      <c r="I48" s="6">
        <v>2255.0</v>
      </c>
      <c r="J48" s="6">
        <v>14069.0</v>
      </c>
    </row>
    <row r="49" ht="15.75" customHeight="1">
      <c r="A49" s="2" t="s">
        <v>50</v>
      </c>
      <c r="B49" s="2" t="s">
        <v>59</v>
      </c>
      <c r="C49" s="2" t="s">
        <v>65</v>
      </c>
      <c r="D49" s="6">
        <v>2417.5</v>
      </c>
      <c r="E49" s="6">
        <v>2292.0</v>
      </c>
      <c r="F49" s="6">
        <v>1876.5</v>
      </c>
      <c r="G49" s="6">
        <v>2287.0</v>
      </c>
      <c r="H49" s="6">
        <v>1617.5</v>
      </c>
      <c r="I49" s="6">
        <v>2482.5</v>
      </c>
      <c r="J49" s="6">
        <v>12973.0</v>
      </c>
    </row>
    <row r="50" ht="15.75" customHeight="1">
      <c r="A50" s="2" t="s">
        <v>50</v>
      </c>
      <c r="B50" s="2" t="s">
        <v>59</v>
      </c>
      <c r="C50" s="2" t="s">
        <v>66</v>
      </c>
      <c r="D50" s="6">
        <v>1318.0</v>
      </c>
      <c r="E50" s="6">
        <v>1313.0</v>
      </c>
      <c r="F50" s="6">
        <v>1033.0</v>
      </c>
      <c r="G50" s="6">
        <v>1196.0</v>
      </c>
      <c r="H50" s="6">
        <v>988.0</v>
      </c>
      <c r="I50" s="6">
        <v>1154.0</v>
      </c>
      <c r="J50" s="6">
        <v>7002.0</v>
      </c>
    </row>
    <row r="51" ht="15.75" customHeight="1">
      <c r="A51" s="2" t="s">
        <v>50</v>
      </c>
      <c r="B51" s="2" t="s">
        <v>59</v>
      </c>
      <c r="C51" s="2" t="s">
        <v>67</v>
      </c>
      <c r="D51" s="6"/>
      <c r="E51" s="6"/>
      <c r="F51" s="6"/>
      <c r="G51" s="6"/>
      <c r="H51" s="6"/>
      <c r="I51" s="6">
        <v>166.5</v>
      </c>
      <c r="J51" s="6">
        <v>166.5</v>
      </c>
    </row>
    <row r="52" ht="15.75" customHeight="1">
      <c r="A52" s="2" t="s">
        <v>50</v>
      </c>
      <c r="B52" s="2" t="s">
        <v>68</v>
      </c>
      <c r="C52" s="2" t="s">
        <v>69</v>
      </c>
      <c r="D52" s="6">
        <v>4683.0</v>
      </c>
      <c r="E52" s="6">
        <v>4173.0</v>
      </c>
      <c r="F52" s="6">
        <v>2481.0</v>
      </c>
      <c r="G52" s="6">
        <v>3550.0</v>
      </c>
      <c r="H52" s="6">
        <v>3802.0</v>
      </c>
      <c r="I52" s="6">
        <v>5227.0</v>
      </c>
      <c r="J52" s="6">
        <v>23916.0</v>
      </c>
    </row>
    <row r="53" ht="15.75" customHeight="1">
      <c r="A53" s="2" t="s">
        <v>50</v>
      </c>
      <c r="B53" s="2" t="s">
        <v>68</v>
      </c>
      <c r="C53" s="2" t="s">
        <v>70</v>
      </c>
      <c r="D53" s="6">
        <v>4289.0</v>
      </c>
      <c r="E53" s="6">
        <v>3200.0</v>
      </c>
      <c r="F53" s="6">
        <v>2051.5</v>
      </c>
      <c r="G53" s="6">
        <v>2535.0</v>
      </c>
      <c r="H53" s="6">
        <v>2570.0</v>
      </c>
      <c r="I53" s="6">
        <v>2979.0</v>
      </c>
      <c r="J53" s="6">
        <v>17624.5</v>
      </c>
    </row>
    <row r="54" ht="15.75" customHeight="1">
      <c r="A54" s="2" t="s">
        <v>50</v>
      </c>
      <c r="B54" s="2" t="s">
        <v>68</v>
      </c>
      <c r="C54" s="2" t="s">
        <v>71</v>
      </c>
      <c r="D54" s="6">
        <v>2614.0</v>
      </c>
      <c r="E54" s="6">
        <v>2414.0</v>
      </c>
      <c r="F54" s="6">
        <v>1945.0</v>
      </c>
      <c r="G54" s="6">
        <v>1643.5</v>
      </c>
      <c r="H54" s="6">
        <v>1227.5</v>
      </c>
      <c r="I54" s="6">
        <v>1482.5</v>
      </c>
      <c r="J54" s="6">
        <v>11326.5</v>
      </c>
    </row>
    <row r="55" ht="15.75" customHeight="1">
      <c r="A55" s="2" t="s">
        <v>50</v>
      </c>
      <c r="B55" s="2" t="s">
        <v>68</v>
      </c>
      <c r="C55" s="2" t="s">
        <v>72</v>
      </c>
      <c r="D55" s="6">
        <v>2405.0</v>
      </c>
      <c r="E55" s="6">
        <v>2157.0</v>
      </c>
      <c r="F55" s="6">
        <v>1659.0</v>
      </c>
      <c r="G55" s="6">
        <v>1593.5</v>
      </c>
      <c r="H55" s="6">
        <v>1194.0</v>
      </c>
      <c r="I55" s="6">
        <v>1526.0</v>
      </c>
      <c r="J55" s="6">
        <v>10534.5</v>
      </c>
    </row>
    <row r="56" ht="15.75" customHeight="1">
      <c r="A56" s="2" t="s">
        <v>50</v>
      </c>
      <c r="B56" s="2" t="s">
        <v>68</v>
      </c>
      <c r="C56" s="2" t="s">
        <v>74</v>
      </c>
      <c r="D56" s="6">
        <v>1246.5</v>
      </c>
      <c r="E56" s="6">
        <v>971.0</v>
      </c>
      <c r="F56" s="6">
        <v>907.5</v>
      </c>
      <c r="G56" s="6">
        <v>817.0</v>
      </c>
      <c r="H56" s="6">
        <v>829.0</v>
      </c>
      <c r="I56" s="6">
        <v>813.5</v>
      </c>
      <c r="J56" s="6">
        <v>5584.5</v>
      </c>
    </row>
    <row r="57" ht="15.75" customHeight="1">
      <c r="A57" s="2" t="s">
        <v>50</v>
      </c>
      <c r="B57" s="2" t="s">
        <v>68</v>
      </c>
      <c r="C57" s="2" t="s">
        <v>75</v>
      </c>
      <c r="D57" s="6"/>
      <c r="E57" s="6"/>
      <c r="F57" s="6"/>
      <c r="G57" s="6"/>
      <c r="H57" s="6"/>
      <c r="I57" s="6">
        <v>129.0</v>
      </c>
      <c r="J57" s="6">
        <v>129.0</v>
      </c>
    </row>
    <row r="58" ht="15.75" customHeight="1">
      <c r="A58" s="2" t="s">
        <v>76</v>
      </c>
      <c r="B58" s="2" t="s">
        <v>77</v>
      </c>
      <c r="C58" s="2" t="s">
        <v>78</v>
      </c>
      <c r="D58" s="6">
        <v>2752.0</v>
      </c>
      <c r="E58" s="6">
        <v>3471.0</v>
      </c>
      <c r="F58" s="6">
        <v>2785.5</v>
      </c>
      <c r="G58" s="6">
        <v>3197.5</v>
      </c>
      <c r="H58" s="6">
        <v>3219.0</v>
      </c>
      <c r="I58" s="6">
        <v>4026.0</v>
      </c>
      <c r="J58" s="6">
        <v>19451.0</v>
      </c>
    </row>
    <row r="59" ht="15.75" customHeight="1">
      <c r="A59" s="2" t="s">
        <v>76</v>
      </c>
      <c r="B59" s="2" t="s">
        <v>77</v>
      </c>
      <c r="C59" s="2" t="s">
        <v>79</v>
      </c>
      <c r="D59" s="6">
        <v>2570.5</v>
      </c>
      <c r="E59" s="6">
        <v>3251.5</v>
      </c>
      <c r="F59" s="6">
        <v>2867.0</v>
      </c>
      <c r="G59" s="6">
        <v>3005.5</v>
      </c>
      <c r="H59" s="6">
        <v>3233.5</v>
      </c>
      <c r="I59" s="6">
        <v>4191.5</v>
      </c>
      <c r="J59" s="6">
        <v>19119.5</v>
      </c>
    </row>
    <row r="60" ht="15.75" customHeight="1">
      <c r="A60" s="2" t="s">
        <v>76</v>
      </c>
      <c r="B60" s="2" t="s">
        <v>77</v>
      </c>
      <c r="C60" s="2" t="s">
        <v>81</v>
      </c>
      <c r="D60" s="6">
        <v>1930.0</v>
      </c>
      <c r="E60" s="6">
        <v>1870.0</v>
      </c>
      <c r="F60" s="6">
        <v>1803.0</v>
      </c>
      <c r="G60" s="6">
        <v>1700.5</v>
      </c>
      <c r="H60" s="6">
        <v>1417.0</v>
      </c>
      <c r="I60" s="6">
        <v>1580.0</v>
      </c>
      <c r="J60" s="6">
        <v>10300.5</v>
      </c>
    </row>
    <row r="61" ht="15.75" customHeight="1">
      <c r="A61" s="2" t="s">
        <v>76</v>
      </c>
      <c r="B61" s="2" t="s">
        <v>77</v>
      </c>
      <c r="C61" s="2" t="s">
        <v>82</v>
      </c>
      <c r="D61" s="6">
        <v>1138.5</v>
      </c>
      <c r="E61" s="6">
        <v>1164.5</v>
      </c>
      <c r="F61" s="6">
        <v>1165.5</v>
      </c>
      <c r="G61" s="6">
        <v>1237.0</v>
      </c>
      <c r="H61" s="6">
        <v>1187.5</v>
      </c>
      <c r="I61" s="6">
        <v>1562.0</v>
      </c>
      <c r="J61" s="6">
        <v>7455.0</v>
      </c>
    </row>
    <row r="62" ht="15.75" customHeight="1">
      <c r="A62" s="2" t="s">
        <v>76</v>
      </c>
      <c r="B62" s="2" t="s">
        <v>77</v>
      </c>
      <c r="C62" s="2" t="s">
        <v>83</v>
      </c>
      <c r="D62" s="6">
        <v>898.5</v>
      </c>
      <c r="E62" s="6">
        <v>1142.5</v>
      </c>
      <c r="F62" s="6">
        <v>1053.0</v>
      </c>
      <c r="G62" s="6">
        <v>1322.0</v>
      </c>
      <c r="H62" s="6">
        <v>1286.5</v>
      </c>
      <c r="I62" s="6">
        <v>1109.0</v>
      </c>
      <c r="J62" s="6">
        <v>6811.5</v>
      </c>
    </row>
    <row r="63" ht="15.75" customHeight="1">
      <c r="A63" s="2" t="s">
        <v>76</v>
      </c>
      <c r="B63" s="2" t="s">
        <v>77</v>
      </c>
      <c r="C63" s="2" t="s">
        <v>84</v>
      </c>
      <c r="D63" s="6">
        <v>740.5</v>
      </c>
      <c r="E63" s="6">
        <v>881.0</v>
      </c>
      <c r="F63" s="6">
        <v>851.5</v>
      </c>
      <c r="G63" s="6">
        <v>888.0</v>
      </c>
      <c r="H63" s="6">
        <v>981.0</v>
      </c>
      <c r="I63" s="6">
        <v>1101.5</v>
      </c>
      <c r="J63" s="6">
        <v>5443.5</v>
      </c>
    </row>
    <row r="64" ht="15.75" customHeight="1">
      <c r="A64" s="2" t="s">
        <v>76</v>
      </c>
      <c r="B64" s="2" t="s">
        <v>77</v>
      </c>
      <c r="C64" s="2" t="s">
        <v>85</v>
      </c>
      <c r="D64" s="6">
        <v>625.0</v>
      </c>
      <c r="E64" s="6">
        <v>749.5</v>
      </c>
      <c r="F64" s="6">
        <v>800.0</v>
      </c>
      <c r="G64" s="6">
        <v>670.0</v>
      </c>
      <c r="H64" s="6">
        <v>845.0</v>
      </c>
      <c r="I64" s="6">
        <v>1094.0</v>
      </c>
      <c r="J64" s="6">
        <v>4783.5</v>
      </c>
    </row>
    <row r="65" ht="15.75" customHeight="1">
      <c r="A65" s="2" t="s">
        <v>76</v>
      </c>
      <c r="B65" s="2" t="s">
        <v>77</v>
      </c>
      <c r="C65" s="2" t="s">
        <v>86</v>
      </c>
      <c r="D65" s="6">
        <v>480.5</v>
      </c>
      <c r="E65" s="6">
        <v>513.0</v>
      </c>
      <c r="F65" s="6">
        <v>685.0</v>
      </c>
      <c r="G65" s="6">
        <v>830.0</v>
      </c>
      <c r="H65" s="6">
        <v>1007.5</v>
      </c>
      <c r="I65" s="6">
        <v>1097.0</v>
      </c>
      <c r="J65" s="6">
        <v>4613.0</v>
      </c>
    </row>
    <row r="66" ht="15.75" customHeight="1">
      <c r="A66" s="2" t="s">
        <v>76</v>
      </c>
      <c r="B66" s="2" t="s">
        <v>77</v>
      </c>
      <c r="C66" s="2" t="s">
        <v>87</v>
      </c>
      <c r="D66" s="6">
        <v>398.0</v>
      </c>
      <c r="E66" s="6">
        <v>404.0</v>
      </c>
      <c r="F66" s="6">
        <v>498.5</v>
      </c>
      <c r="G66" s="6">
        <v>515.5</v>
      </c>
      <c r="H66" s="6">
        <v>651.0</v>
      </c>
      <c r="I66" s="6">
        <v>887.5</v>
      </c>
      <c r="J66" s="6">
        <v>3354.5</v>
      </c>
    </row>
    <row r="67" ht="15.75" customHeight="1">
      <c r="A67" s="2" t="s">
        <v>76</v>
      </c>
      <c r="B67" s="2" t="s">
        <v>77</v>
      </c>
      <c r="C67" s="2" t="s">
        <v>88</v>
      </c>
      <c r="D67" s="6">
        <v>173.5</v>
      </c>
      <c r="E67" s="6">
        <v>385.0</v>
      </c>
      <c r="F67" s="6">
        <v>561.0</v>
      </c>
      <c r="G67" s="6">
        <v>568.0</v>
      </c>
      <c r="H67" s="6">
        <v>772.5</v>
      </c>
      <c r="I67" s="6">
        <v>715.5</v>
      </c>
      <c r="J67" s="6">
        <v>3175.5</v>
      </c>
    </row>
    <row r="68" ht="15.75" customHeight="1">
      <c r="A68" s="2" t="s">
        <v>76</v>
      </c>
      <c r="B68" s="2" t="s">
        <v>77</v>
      </c>
      <c r="C68" s="2" t="s">
        <v>89</v>
      </c>
      <c r="D68" s="6"/>
      <c r="E68" s="6"/>
      <c r="F68" s="6"/>
      <c r="G68" s="6">
        <v>7.5</v>
      </c>
      <c r="H68" s="6">
        <v>606.5</v>
      </c>
      <c r="I68" s="6">
        <v>806.0</v>
      </c>
      <c r="J68" s="6">
        <v>1420.0</v>
      </c>
    </row>
    <row r="69" ht="15.75" customHeight="1">
      <c r="A69" s="2" t="s">
        <v>76</v>
      </c>
      <c r="B69" s="2" t="s">
        <v>90</v>
      </c>
      <c r="C69" s="2" t="s">
        <v>91</v>
      </c>
      <c r="D69" s="6">
        <v>1344.5</v>
      </c>
      <c r="E69" s="6">
        <v>1731.0</v>
      </c>
      <c r="F69" s="6">
        <v>1368.0</v>
      </c>
      <c r="G69" s="6">
        <v>1388.5</v>
      </c>
      <c r="H69" s="6">
        <v>1624.5</v>
      </c>
      <c r="I69" s="6">
        <v>2094.5</v>
      </c>
      <c r="J69" s="6">
        <v>9551.0</v>
      </c>
    </row>
    <row r="70" ht="15.75" customHeight="1">
      <c r="A70" s="2" t="s">
        <v>76</v>
      </c>
      <c r="B70" s="2" t="s">
        <v>90</v>
      </c>
      <c r="C70" s="2" t="s">
        <v>93</v>
      </c>
      <c r="D70" s="6">
        <v>1108.0</v>
      </c>
      <c r="E70" s="6">
        <v>1593.5</v>
      </c>
      <c r="F70" s="6">
        <v>1570.0</v>
      </c>
      <c r="G70" s="6">
        <v>1517.0</v>
      </c>
      <c r="H70" s="6">
        <v>1657.0</v>
      </c>
      <c r="I70" s="6">
        <v>1999.0</v>
      </c>
      <c r="J70" s="6">
        <v>9444.5</v>
      </c>
    </row>
    <row r="71" ht="15.75" customHeight="1">
      <c r="A71" s="2" t="s">
        <v>76</v>
      </c>
      <c r="B71" s="2" t="s">
        <v>90</v>
      </c>
      <c r="C71" s="2" t="s">
        <v>94</v>
      </c>
      <c r="D71" s="6">
        <v>974.0</v>
      </c>
      <c r="E71" s="6">
        <v>1296.0</v>
      </c>
      <c r="F71" s="6">
        <v>1289.5</v>
      </c>
      <c r="G71" s="6">
        <v>1333.5</v>
      </c>
      <c r="H71" s="6">
        <v>1794.0</v>
      </c>
      <c r="I71" s="6">
        <v>2335.5</v>
      </c>
      <c r="J71" s="6">
        <v>9022.5</v>
      </c>
    </row>
    <row r="72" ht="15.75" customHeight="1">
      <c r="A72" s="2" t="s">
        <v>76</v>
      </c>
      <c r="B72" s="2" t="s">
        <v>90</v>
      </c>
      <c r="C72" s="2" t="s">
        <v>95</v>
      </c>
      <c r="D72" s="6">
        <v>757.5</v>
      </c>
      <c r="E72" s="6">
        <v>1323.0</v>
      </c>
      <c r="F72" s="6">
        <v>1331.0</v>
      </c>
      <c r="G72" s="6">
        <v>1335.0</v>
      </c>
      <c r="H72" s="6">
        <v>1842.0</v>
      </c>
      <c r="I72" s="6">
        <v>1839.0</v>
      </c>
      <c r="J72" s="6">
        <v>8427.5</v>
      </c>
    </row>
    <row r="73" ht="15.75" customHeight="1">
      <c r="A73" s="2" t="s">
        <v>76</v>
      </c>
      <c r="B73" s="2" t="s">
        <v>90</v>
      </c>
      <c r="C73" s="2" t="s">
        <v>96</v>
      </c>
      <c r="D73" s="6">
        <v>1060.5</v>
      </c>
      <c r="E73" s="6">
        <v>1174.0</v>
      </c>
      <c r="F73" s="6">
        <v>996.0</v>
      </c>
      <c r="G73" s="6">
        <v>922.0</v>
      </c>
      <c r="H73" s="6">
        <v>1561.5</v>
      </c>
      <c r="I73" s="6">
        <v>1726.5</v>
      </c>
      <c r="J73" s="6">
        <v>7440.5</v>
      </c>
    </row>
    <row r="74" ht="15.75" customHeight="1">
      <c r="A74" s="2" t="s">
        <v>76</v>
      </c>
      <c r="B74" s="2" t="s">
        <v>90</v>
      </c>
      <c r="C74" s="2" t="s">
        <v>97</v>
      </c>
      <c r="D74" s="6">
        <v>716.0</v>
      </c>
      <c r="E74" s="6">
        <v>1338.0</v>
      </c>
      <c r="F74" s="6">
        <v>1050.0</v>
      </c>
      <c r="G74" s="6">
        <v>1107.0</v>
      </c>
      <c r="H74" s="6">
        <v>1131.0</v>
      </c>
      <c r="I74" s="6">
        <v>1354.0</v>
      </c>
      <c r="J74" s="6">
        <v>6696.0</v>
      </c>
    </row>
    <row r="75" ht="15.75" customHeight="1">
      <c r="A75" s="2" t="s">
        <v>76</v>
      </c>
      <c r="B75" s="2" t="s">
        <v>90</v>
      </c>
      <c r="C75" s="2" t="s">
        <v>98</v>
      </c>
      <c r="D75" s="6">
        <v>1196.0</v>
      </c>
      <c r="E75" s="6">
        <v>1159.5</v>
      </c>
      <c r="F75" s="6">
        <v>967.5</v>
      </c>
      <c r="G75" s="6">
        <v>999.0</v>
      </c>
      <c r="H75" s="6">
        <v>1116.0</v>
      </c>
      <c r="I75" s="6">
        <v>1156.0</v>
      </c>
      <c r="J75" s="6">
        <v>6594.0</v>
      </c>
    </row>
    <row r="76" ht="15.75" customHeight="1">
      <c r="A76" s="2" t="s">
        <v>76</v>
      </c>
      <c r="B76" s="2" t="s">
        <v>90</v>
      </c>
      <c r="C76" s="2" t="s">
        <v>99</v>
      </c>
      <c r="D76" s="6">
        <v>736.0</v>
      </c>
      <c r="E76" s="6">
        <v>1217.5</v>
      </c>
      <c r="F76" s="6">
        <v>1172.5</v>
      </c>
      <c r="G76" s="6">
        <v>1009.0</v>
      </c>
      <c r="H76" s="6">
        <v>1047.5</v>
      </c>
      <c r="I76" s="6">
        <v>1209.0</v>
      </c>
      <c r="J76" s="6">
        <v>6391.5</v>
      </c>
    </row>
    <row r="77" ht="15.75" customHeight="1">
      <c r="A77" s="2" t="s">
        <v>76</v>
      </c>
      <c r="B77" s="2" t="s">
        <v>90</v>
      </c>
      <c r="C77" s="2" t="s">
        <v>100</v>
      </c>
      <c r="D77" s="6">
        <v>296.0</v>
      </c>
      <c r="E77" s="6">
        <v>559.5</v>
      </c>
      <c r="F77" s="6">
        <v>758.5</v>
      </c>
      <c r="G77" s="6">
        <v>881.5</v>
      </c>
      <c r="H77" s="6">
        <v>1029.0</v>
      </c>
      <c r="I77" s="6">
        <v>1414.5</v>
      </c>
      <c r="J77" s="6">
        <v>4939.0</v>
      </c>
    </row>
    <row r="78" ht="15.75" customHeight="1">
      <c r="A78" s="2" t="s">
        <v>76</v>
      </c>
      <c r="B78" s="2" t="s">
        <v>90</v>
      </c>
      <c r="C78" s="2" t="s">
        <v>101</v>
      </c>
      <c r="D78" s="6"/>
      <c r="E78" s="6"/>
      <c r="F78" s="6"/>
      <c r="G78" s="6"/>
      <c r="H78" s="6"/>
      <c r="I78" s="6">
        <v>273.0</v>
      </c>
      <c r="J78" s="6">
        <v>273.0</v>
      </c>
    </row>
    <row r="79" ht="15.75" customHeight="1">
      <c r="A79" s="2" t="s">
        <v>102</v>
      </c>
      <c r="B79" s="2" t="s">
        <v>103</v>
      </c>
      <c r="C79" s="2" t="s">
        <v>104</v>
      </c>
      <c r="D79" s="6">
        <v>1517.5</v>
      </c>
      <c r="E79" s="6">
        <v>2017.0</v>
      </c>
      <c r="F79" s="6">
        <v>1612.5</v>
      </c>
      <c r="G79" s="6">
        <v>2046.5</v>
      </c>
      <c r="H79" s="6">
        <v>2246.0</v>
      </c>
      <c r="I79" s="6">
        <v>2589.5</v>
      </c>
      <c r="J79" s="6">
        <v>12029.0</v>
      </c>
    </row>
    <row r="80" ht="15.75" customHeight="1">
      <c r="A80" s="2" t="s">
        <v>102</v>
      </c>
      <c r="B80" s="2" t="s">
        <v>103</v>
      </c>
      <c r="C80" s="2" t="s">
        <v>105</v>
      </c>
      <c r="D80" s="6">
        <v>1648.0</v>
      </c>
      <c r="E80" s="6">
        <v>1996.0</v>
      </c>
      <c r="F80" s="6">
        <v>1590.5</v>
      </c>
      <c r="G80" s="6">
        <v>2085.0</v>
      </c>
      <c r="H80" s="6">
        <v>1901.0</v>
      </c>
      <c r="I80" s="6">
        <v>2261.5</v>
      </c>
      <c r="J80" s="6">
        <v>11482.0</v>
      </c>
    </row>
    <row r="81" ht="15.75" customHeight="1">
      <c r="A81" s="2" t="s">
        <v>102</v>
      </c>
      <c r="B81" s="2" t="s">
        <v>103</v>
      </c>
      <c r="C81" s="2" t="s">
        <v>106</v>
      </c>
      <c r="D81" s="6">
        <v>1361.0</v>
      </c>
      <c r="E81" s="6">
        <v>1585.5</v>
      </c>
      <c r="F81" s="6">
        <v>1563.5</v>
      </c>
      <c r="G81" s="6">
        <v>1730.5</v>
      </c>
      <c r="H81" s="6">
        <v>2341.5</v>
      </c>
      <c r="I81" s="6">
        <v>2851.0</v>
      </c>
      <c r="J81" s="6">
        <v>11433.0</v>
      </c>
    </row>
    <row r="82" ht="15.75" customHeight="1">
      <c r="A82" s="2" t="s">
        <v>102</v>
      </c>
      <c r="B82" s="2" t="s">
        <v>103</v>
      </c>
      <c r="C82" s="2" t="s">
        <v>107</v>
      </c>
      <c r="D82" s="6">
        <v>1138.0</v>
      </c>
      <c r="E82" s="6">
        <v>1493.0</v>
      </c>
      <c r="F82" s="6">
        <v>1278.0</v>
      </c>
      <c r="G82" s="6">
        <v>1582.0</v>
      </c>
      <c r="H82" s="6">
        <v>1638.0</v>
      </c>
      <c r="I82" s="6">
        <v>2065.0</v>
      </c>
      <c r="J82" s="6">
        <v>9194.0</v>
      </c>
    </row>
    <row r="83" ht="15.75" customHeight="1">
      <c r="A83" s="2" t="s">
        <v>102</v>
      </c>
      <c r="B83" s="2" t="s">
        <v>103</v>
      </c>
      <c r="C83" s="2" t="s">
        <v>108</v>
      </c>
      <c r="D83" s="6">
        <v>1139.5</v>
      </c>
      <c r="E83" s="6">
        <v>1141.0</v>
      </c>
      <c r="F83" s="6">
        <v>1022.5</v>
      </c>
      <c r="G83" s="6">
        <v>1570.0</v>
      </c>
      <c r="H83" s="6">
        <v>1447.5</v>
      </c>
      <c r="I83" s="6">
        <v>1291.5</v>
      </c>
      <c r="J83" s="6">
        <v>7612.0</v>
      </c>
    </row>
    <row r="84" ht="15.75" customHeight="1">
      <c r="A84" s="2" t="s">
        <v>102</v>
      </c>
      <c r="B84" s="2" t="s">
        <v>103</v>
      </c>
      <c r="C84" s="2" t="s">
        <v>109</v>
      </c>
      <c r="D84" s="6">
        <v>904.0</v>
      </c>
      <c r="E84" s="6">
        <v>1113.5</v>
      </c>
      <c r="F84" s="6">
        <v>1213.5</v>
      </c>
      <c r="G84" s="6">
        <v>1281.0</v>
      </c>
      <c r="H84" s="6">
        <v>1360.5</v>
      </c>
      <c r="I84" s="6">
        <v>1398.0</v>
      </c>
      <c r="J84" s="6">
        <v>7270.5</v>
      </c>
    </row>
    <row r="85" ht="15.75" customHeight="1">
      <c r="A85" s="2" t="s">
        <v>102</v>
      </c>
      <c r="B85" s="2" t="s">
        <v>103</v>
      </c>
      <c r="C85" s="2" t="s">
        <v>110</v>
      </c>
      <c r="D85" s="6">
        <v>799.5</v>
      </c>
      <c r="E85" s="6">
        <v>790.0</v>
      </c>
      <c r="F85" s="6">
        <v>873.5</v>
      </c>
      <c r="G85" s="6">
        <v>1129.5</v>
      </c>
      <c r="H85" s="6">
        <v>1385.5</v>
      </c>
      <c r="I85" s="6">
        <v>2055.0</v>
      </c>
      <c r="J85" s="6">
        <v>7033.0</v>
      </c>
    </row>
    <row r="86" ht="15.75" customHeight="1">
      <c r="A86" s="2" t="s">
        <v>102</v>
      </c>
      <c r="B86" s="2" t="s">
        <v>103</v>
      </c>
      <c r="C86" s="2" t="s">
        <v>111</v>
      </c>
      <c r="D86" s="6">
        <v>781.5</v>
      </c>
      <c r="E86" s="6">
        <v>954.5</v>
      </c>
      <c r="F86" s="6">
        <v>1047.5</v>
      </c>
      <c r="G86" s="6">
        <v>1151.5</v>
      </c>
      <c r="H86" s="6">
        <v>1440.0</v>
      </c>
      <c r="I86" s="6">
        <v>1280.5</v>
      </c>
      <c r="J86" s="6">
        <v>6655.5</v>
      </c>
    </row>
    <row r="87" ht="15.75" customHeight="1">
      <c r="A87" s="2" t="s">
        <v>102</v>
      </c>
      <c r="B87" s="2" t="s">
        <v>103</v>
      </c>
      <c r="C87" s="2" t="s">
        <v>112</v>
      </c>
      <c r="D87" s="6">
        <v>537.0</v>
      </c>
      <c r="E87" s="6">
        <v>739.0</v>
      </c>
      <c r="F87" s="6">
        <v>678.5</v>
      </c>
      <c r="G87" s="6">
        <v>724.0</v>
      </c>
      <c r="H87" s="6">
        <v>1283.5</v>
      </c>
      <c r="I87" s="6">
        <v>1872.5</v>
      </c>
      <c r="J87" s="6">
        <v>5834.5</v>
      </c>
    </row>
    <row r="88" ht="15.75" customHeight="1">
      <c r="A88" s="2" t="s">
        <v>102</v>
      </c>
      <c r="B88" s="2" t="s">
        <v>103</v>
      </c>
      <c r="C88" s="2" t="s">
        <v>113</v>
      </c>
      <c r="D88" s="6">
        <v>319.0</v>
      </c>
      <c r="E88" s="6">
        <v>632.0</v>
      </c>
      <c r="F88" s="6">
        <v>727.5</v>
      </c>
      <c r="G88" s="6">
        <v>949.0</v>
      </c>
      <c r="H88" s="6">
        <v>1054.0</v>
      </c>
      <c r="I88" s="6">
        <v>1343.5</v>
      </c>
      <c r="J88" s="6">
        <v>5025.0</v>
      </c>
    </row>
    <row r="89" ht="15.75" customHeight="1">
      <c r="A89" s="2" t="s">
        <v>102</v>
      </c>
      <c r="B89" s="2" t="s">
        <v>103</v>
      </c>
      <c r="C89" s="2" t="s">
        <v>114</v>
      </c>
      <c r="D89" s="6"/>
      <c r="E89" s="6"/>
      <c r="F89" s="6"/>
      <c r="G89" s="6"/>
      <c r="H89" s="6">
        <v>42.5</v>
      </c>
      <c r="I89" s="6">
        <v>1181.0</v>
      </c>
      <c r="J89" s="6">
        <v>1223.5</v>
      </c>
    </row>
    <row r="90" ht="15.75" customHeight="1">
      <c r="A90" s="2" t="s">
        <v>102</v>
      </c>
      <c r="B90" s="2" t="s">
        <v>115</v>
      </c>
      <c r="C90" s="2" t="s">
        <v>116</v>
      </c>
      <c r="D90" s="6">
        <v>2566.5</v>
      </c>
      <c r="E90" s="6">
        <v>2368.5</v>
      </c>
      <c r="F90" s="6">
        <v>2472.0</v>
      </c>
      <c r="G90" s="6">
        <v>2864.0</v>
      </c>
      <c r="H90" s="6">
        <v>2980.5</v>
      </c>
      <c r="I90" s="6">
        <v>3459.5</v>
      </c>
      <c r="J90" s="6">
        <v>16711.0</v>
      </c>
    </row>
    <row r="91" ht="15.75" customHeight="1">
      <c r="A91" s="2" t="s">
        <v>102</v>
      </c>
      <c r="B91" s="2" t="s">
        <v>115</v>
      </c>
      <c r="C91" s="2" t="s">
        <v>117</v>
      </c>
      <c r="D91" s="6">
        <v>2370.5</v>
      </c>
      <c r="E91" s="6">
        <v>1881.0</v>
      </c>
      <c r="F91" s="6">
        <v>2133.0</v>
      </c>
      <c r="G91" s="6">
        <v>2280.5</v>
      </c>
      <c r="H91" s="6">
        <v>2488.0</v>
      </c>
      <c r="I91" s="6">
        <v>2989.5</v>
      </c>
      <c r="J91" s="6">
        <v>14142.5</v>
      </c>
    </row>
    <row r="92" ht="15.75" customHeight="1">
      <c r="A92" s="2" t="s">
        <v>102</v>
      </c>
      <c r="B92" s="2" t="s">
        <v>115</v>
      </c>
      <c r="C92" s="2" t="s">
        <v>118</v>
      </c>
      <c r="D92" s="6">
        <v>1397.0</v>
      </c>
      <c r="E92" s="6">
        <v>2125.5</v>
      </c>
      <c r="F92" s="6">
        <v>1755.0</v>
      </c>
      <c r="G92" s="6">
        <v>2600.0</v>
      </c>
      <c r="H92" s="6">
        <v>2514.0</v>
      </c>
      <c r="I92" s="6">
        <v>2838.5</v>
      </c>
      <c r="J92" s="6">
        <v>13230.0</v>
      </c>
    </row>
    <row r="93" ht="15.75" customHeight="1">
      <c r="A93" s="2" t="s">
        <v>102</v>
      </c>
      <c r="B93" s="2" t="s">
        <v>115</v>
      </c>
      <c r="C93" s="2" t="s">
        <v>119</v>
      </c>
      <c r="D93" s="6">
        <v>1441.0</v>
      </c>
      <c r="E93" s="6">
        <v>1800.0</v>
      </c>
      <c r="F93" s="6">
        <v>2229.0</v>
      </c>
      <c r="G93" s="6">
        <v>2232.5</v>
      </c>
      <c r="H93" s="6">
        <v>2386.5</v>
      </c>
      <c r="I93" s="6">
        <v>2626.5</v>
      </c>
      <c r="J93" s="6">
        <v>12715.5</v>
      </c>
    </row>
    <row r="94" ht="15.75" customHeight="1">
      <c r="A94" s="2" t="s">
        <v>102</v>
      </c>
      <c r="B94" s="2" t="s">
        <v>115</v>
      </c>
      <c r="C94" s="2" t="s">
        <v>121</v>
      </c>
      <c r="D94" s="6">
        <v>1360.0</v>
      </c>
      <c r="E94" s="6">
        <v>1538.0</v>
      </c>
      <c r="F94" s="6">
        <v>1260.5</v>
      </c>
      <c r="G94" s="6">
        <v>1891.0</v>
      </c>
      <c r="H94" s="6">
        <v>2467.5</v>
      </c>
      <c r="I94" s="6">
        <v>2840.5</v>
      </c>
      <c r="J94" s="6">
        <v>11357.5</v>
      </c>
    </row>
    <row r="95" ht="15.75" customHeight="1">
      <c r="A95" s="2" t="s">
        <v>102</v>
      </c>
      <c r="B95" s="2" t="s">
        <v>115</v>
      </c>
      <c r="C95" s="2" t="s">
        <v>122</v>
      </c>
      <c r="D95" s="6">
        <v>908.5</v>
      </c>
      <c r="E95" s="6">
        <v>704.0</v>
      </c>
      <c r="F95" s="6">
        <v>778.0</v>
      </c>
      <c r="G95" s="6">
        <v>909.5</v>
      </c>
      <c r="H95" s="6">
        <v>1128.0</v>
      </c>
      <c r="I95" s="6">
        <v>1594.5</v>
      </c>
      <c r="J95" s="6">
        <v>6022.5</v>
      </c>
    </row>
    <row r="96" ht="15.75" customHeight="1">
      <c r="A96" s="2" t="s">
        <v>102</v>
      </c>
      <c r="B96" s="2" t="s">
        <v>115</v>
      </c>
      <c r="C96" s="2" t="s">
        <v>123</v>
      </c>
      <c r="D96" s="6">
        <v>373.5</v>
      </c>
      <c r="E96" s="6">
        <v>444.5</v>
      </c>
      <c r="F96" s="6">
        <v>564.5</v>
      </c>
      <c r="G96" s="6">
        <v>748.0</v>
      </c>
      <c r="H96" s="6">
        <v>768.5</v>
      </c>
      <c r="I96" s="6">
        <v>945.0</v>
      </c>
      <c r="J96" s="6">
        <v>3844.0</v>
      </c>
    </row>
    <row r="97" ht="15.75" customHeight="1">
      <c r="A97" s="2" t="s">
        <v>102</v>
      </c>
      <c r="B97" s="2" t="s">
        <v>124</v>
      </c>
      <c r="C97" s="2" t="s">
        <v>125</v>
      </c>
      <c r="D97" s="6">
        <v>2584.5</v>
      </c>
      <c r="E97" s="6">
        <v>2501.0</v>
      </c>
      <c r="F97" s="6">
        <v>3284.0</v>
      </c>
      <c r="G97" s="6">
        <v>4161.5</v>
      </c>
      <c r="H97" s="6">
        <v>4408.0</v>
      </c>
      <c r="I97" s="6">
        <v>6545.0</v>
      </c>
      <c r="J97" s="6">
        <v>23484.0</v>
      </c>
    </row>
    <row r="98" ht="15.75" customHeight="1">
      <c r="A98" s="2" t="s">
        <v>102</v>
      </c>
      <c r="B98" s="2" t="s">
        <v>124</v>
      </c>
      <c r="C98" s="2" t="s">
        <v>126</v>
      </c>
      <c r="D98" s="6">
        <v>2745.5</v>
      </c>
      <c r="E98" s="6">
        <v>2666.5</v>
      </c>
      <c r="F98" s="6">
        <v>2416.0</v>
      </c>
      <c r="G98" s="6">
        <v>3034.5</v>
      </c>
      <c r="H98" s="6">
        <v>3656.5</v>
      </c>
      <c r="I98" s="6">
        <v>5964.5</v>
      </c>
      <c r="J98" s="6">
        <v>20483.5</v>
      </c>
    </row>
    <row r="99" ht="15.75" customHeight="1">
      <c r="A99" s="2" t="s">
        <v>102</v>
      </c>
      <c r="B99" s="2" t="s">
        <v>124</v>
      </c>
      <c r="C99" s="2" t="s">
        <v>127</v>
      </c>
      <c r="D99" s="6">
        <v>1540.5</v>
      </c>
      <c r="E99" s="6">
        <v>1713.0</v>
      </c>
      <c r="F99" s="6">
        <v>1533.5</v>
      </c>
      <c r="G99" s="6">
        <v>2016.0</v>
      </c>
      <c r="H99" s="6">
        <v>2492.5</v>
      </c>
      <c r="I99" s="6">
        <v>2923.5</v>
      </c>
      <c r="J99" s="6">
        <v>12219.0</v>
      </c>
    </row>
    <row r="100" ht="15.75" customHeight="1">
      <c r="A100" s="2" t="s">
        <v>102</v>
      </c>
      <c r="B100" s="2" t="s">
        <v>124</v>
      </c>
      <c r="C100" s="2" t="s">
        <v>128</v>
      </c>
      <c r="D100" s="6">
        <v>1528.5</v>
      </c>
      <c r="E100" s="6">
        <v>1789.0</v>
      </c>
      <c r="F100" s="6">
        <v>1418.5</v>
      </c>
      <c r="G100" s="6">
        <v>1787.0</v>
      </c>
      <c r="H100" s="6">
        <v>1932.0</v>
      </c>
      <c r="I100" s="6">
        <v>2778.0</v>
      </c>
      <c r="J100" s="6">
        <v>11233.0</v>
      </c>
    </row>
    <row r="101" ht="15.75" customHeight="1">
      <c r="A101" s="2" t="s">
        <v>102</v>
      </c>
      <c r="B101" s="2" t="s">
        <v>124</v>
      </c>
      <c r="C101" s="2" t="s">
        <v>129</v>
      </c>
      <c r="D101" s="6">
        <v>1334.0</v>
      </c>
      <c r="E101" s="6">
        <v>1461.0</v>
      </c>
      <c r="F101" s="6">
        <v>1421.0</v>
      </c>
      <c r="G101" s="6">
        <v>1709.5</v>
      </c>
      <c r="H101" s="6">
        <v>1900.5</v>
      </c>
      <c r="I101" s="6">
        <v>2535.0</v>
      </c>
      <c r="J101" s="6">
        <v>10361.0</v>
      </c>
    </row>
    <row r="102" ht="15.75" customHeight="1">
      <c r="A102" s="2" t="s">
        <v>130</v>
      </c>
      <c r="B102" s="2" t="s">
        <v>131</v>
      </c>
      <c r="C102" s="2" t="s">
        <v>132</v>
      </c>
      <c r="D102" s="6">
        <v>5625.0</v>
      </c>
      <c r="E102" s="6">
        <v>5465.5</v>
      </c>
      <c r="F102" s="6">
        <v>3459.0</v>
      </c>
      <c r="G102" s="6">
        <v>3940.0</v>
      </c>
      <c r="H102" s="6">
        <v>3483.5</v>
      </c>
      <c r="I102" s="6">
        <v>3465.5</v>
      </c>
      <c r="J102" s="6">
        <v>25438.5</v>
      </c>
    </row>
    <row r="103" ht="15.75" customHeight="1">
      <c r="A103" s="2" t="s">
        <v>130</v>
      </c>
      <c r="B103" s="2" t="s">
        <v>131</v>
      </c>
      <c r="C103" s="2" t="s">
        <v>133</v>
      </c>
      <c r="D103" s="6">
        <v>4942.5</v>
      </c>
      <c r="E103" s="6">
        <v>4999.5</v>
      </c>
      <c r="F103" s="6">
        <v>3344.5</v>
      </c>
      <c r="G103" s="6">
        <v>3735.5</v>
      </c>
      <c r="H103" s="6">
        <v>3057.5</v>
      </c>
      <c r="I103" s="6">
        <v>3753.5</v>
      </c>
      <c r="J103" s="6">
        <v>23833.0</v>
      </c>
    </row>
    <row r="104" ht="15.75" customHeight="1">
      <c r="A104" s="2" t="s">
        <v>130</v>
      </c>
      <c r="B104" s="2" t="s">
        <v>131</v>
      </c>
      <c r="C104" s="2" t="s">
        <v>134</v>
      </c>
      <c r="D104" s="6">
        <v>5471.0</v>
      </c>
      <c r="E104" s="6">
        <v>5204.5</v>
      </c>
      <c r="F104" s="6">
        <v>2974.0</v>
      </c>
      <c r="G104" s="6">
        <v>3670.5</v>
      </c>
      <c r="H104" s="6">
        <v>2926.5</v>
      </c>
      <c r="I104" s="6">
        <v>3292.5</v>
      </c>
      <c r="J104" s="6">
        <v>23539.0</v>
      </c>
    </row>
    <row r="105" ht="15.75" customHeight="1">
      <c r="A105" s="2" t="s">
        <v>130</v>
      </c>
      <c r="B105" s="2" t="s">
        <v>131</v>
      </c>
      <c r="C105" s="2" t="s">
        <v>135</v>
      </c>
      <c r="D105" s="6">
        <v>4898.5</v>
      </c>
      <c r="E105" s="6">
        <v>4303.0</v>
      </c>
      <c r="F105" s="6">
        <v>2862.5</v>
      </c>
      <c r="G105" s="6">
        <v>3690.5</v>
      </c>
      <c r="H105" s="6">
        <v>3028.0</v>
      </c>
      <c r="I105" s="6">
        <v>3702.0</v>
      </c>
      <c r="J105" s="6">
        <v>22484.5</v>
      </c>
    </row>
    <row r="106" ht="15.75" customHeight="1">
      <c r="A106" s="2" t="s">
        <v>130</v>
      </c>
      <c r="B106" s="2" t="s">
        <v>131</v>
      </c>
      <c r="C106" s="2" t="s">
        <v>136</v>
      </c>
      <c r="D106" s="6">
        <v>4475.0</v>
      </c>
      <c r="E106" s="6">
        <v>4326.0</v>
      </c>
      <c r="F106" s="6">
        <v>2702.5</v>
      </c>
      <c r="G106" s="6">
        <v>3444.0</v>
      </c>
      <c r="H106" s="6">
        <v>2774.0</v>
      </c>
      <c r="I106" s="6">
        <v>2936.5</v>
      </c>
      <c r="J106" s="6">
        <v>20658.0</v>
      </c>
    </row>
    <row r="107" ht="15.75" customHeight="1">
      <c r="A107" s="2" t="s">
        <v>130</v>
      </c>
      <c r="B107" s="2" t="s">
        <v>131</v>
      </c>
      <c r="C107" s="2" t="s">
        <v>137</v>
      </c>
      <c r="D107" s="6">
        <v>3559.5</v>
      </c>
      <c r="E107" s="6">
        <v>3234.0</v>
      </c>
      <c r="F107" s="6">
        <v>2018.0</v>
      </c>
      <c r="G107" s="6">
        <v>2189.0</v>
      </c>
      <c r="H107" s="6">
        <v>1715.0</v>
      </c>
      <c r="I107" s="6">
        <v>1912.5</v>
      </c>
      <c r="J107" s="6">
        <v>14628.0</v>
      </c>
    </row>
    <row r="108" ht="15.75" customHeight="1">
      <c r="A108" s="2" t="s">
        <v>130</v>
      </c>
      <c r="B108" s="2" t="s">
        <v>131</v>
      </c>
      <c r="C108" s="2" t="s">
        <v>138</v>
      </c>
      <c r="D108" s="6">
        <v>3075.5</v>
      </c>
      <c r="E108" s="6">
        <v>2862.0</v>
      </c>
      <c r="F108" s="6">
        <v>1754.0</v>
      </c>
      <c r="G108" s="6">
        <v>2246.0</v>
      </c>
      <c r="H108" s="6">
        <v>1311.0</v>
      </c>
      <c r="I108" s="6">
        <v>1311.0</v>
      </c>
      <c r="J108" s="6">
        <v>12559.5</v>
      </c>
    </row>
    <row r="109" ht="15.75" customHeight="1">
      <c r="A109" s="2" t="s">
        <v>130</v>
      </c>
      <c r="B109" s="2" t="s">
        <v>131</v>
      </c>
      <c r="C109" s="2" t="s">
        <v>139</v>
      </c>
      <c r="D109" s="6">
        <v>1488.5</v>
      </c>
      <c r="E109" s="6">
        <v>1148.5</v>
      </c>
      <c r="F109" s="6">
        <v>1053.5</v>
      </c>
      <c r="G109" s="6">
        <v>1141.5</v>
      </c>
      <c r="H109" s="6">
        <v>858.0</v>
      </c>
      <c r="I109" s="6">
        <v>815.5</v>
      </c>
      <c r="J109" s="6">
        <v>6505.5</v>
      </c>
    </row>
    <row r="110" ht="15.75" customHeight="1">
      <c r="A110" s="2" t="s">
        <v>130</v>
      </c>
      <c r="B110" s="2" t="s">
        <v>131</v>
      </c>
      <c r="C110" s="2" t="s">
        <v>140</v>
      </c>
      <c r="D110" s="6">
        <v>1023.5</v>
      </c>
      <c r="E110" s="6">
        <v>996.0</v>
      </c>
      <c r="F110" s="6">
        <v>779.5</v>
      </c>
      <c r="G110" s="6">
        <v>910.5</v>
      </c>
      <c r="H110" s="6">
        <v>714.0</v>
      </c>
      <c r="I110" s="6">
        <v>702.5</v>
      </c>
      <c r="J110" s="6">
        <v>5126.0</v>
      </c>
    </row>
    <row r="111" ht="15.75" customHeight="1">
      <c r="A111" s="2" t="s">
        <v>130</v>
      </c>
      <c r="B111" s="2" t="s">
        <v>141</v>
      </c>
      <c r="C111" s="2" t="s">
        <v>142</v>
      </c>
      <c r="D111" s="6">
        <v>6554.5</v>
      </c>
      <c r="E111" s="6">
        <v>4741.5</v>
      </c>
      <c r="F111" s="6">
        <v>3328.0</v>
      </c>
      <c r="G111" s="6">
        <v>4385.0</v>
      </c>
      <c r="H111" s="6">
        <v>3072.0</v>
      </c>
      <c r="I111" s="6">
        <v>3136.0</v>
      </c>
      <c r="J111" s="6">
        <v>25217.0</v>
      </c>
    </row>
    <row r="112" ht="15.75" customHeight="1">
      <c r="A112" s="2" t="s">
        <v>130</v>
      </c>
      <c r="B112" s="2" t="s">
        <v>141</v>
      </c>
      <c r="C112" s="2" t="s">
        <v>143</v>
      </c>
      <c r="D112" s="6">
        <v>6077.5</v>
      </c>
      <c r="E112" s="6">
        <v>4412.5</v>
      </c>
      <c r="F112" s="6">
        <v>3200.0</v>
      </c>
      <c r="G112" s="6">
        <v>3935.5</v>
      </c>
      <c r="H112" s="6">
        <v>3060.5</v>
      </c>
      <c r="I112" s="6">
        <v>3191.5</v>
      </c>
      <c r="J112" s="6">
        <v>23877.5</v>
      </c>
    </row>
    <row r="113" ht="15.75" customHeight="1">
      <c r="A113" s="2" t="s">
        <v>130</v>
      </c>
      <c r="B113" s="2" t="s">
        <v>141</v>
      </c>
      <c r="C113" s="2" t="s">
        <v>146</v>
      </c>
      <c r="D113" s="6">
        <v>3017.5</v>
      </c>
      <c r="E113" s="6">
        <v>2299.0</v>
      </c>
      <c r="F113" s="6">
        <v>1457.5</v>
      </c>
      <c r="G113" s="6">
        <v>2154.0</v>
      </c>
      <c r="H113" s="6">
        <v>1526.5</v>
      </c>
      <c r="I113" s="6">
        <v>2059.5</v>
      </c>
      <c r="J113" s="6">
        <v>12514.0</v>
      </c>
    </row>
    <row r="114" ht="15.75" customHeight="1">
      <c r="A114" s="2" t="s">
        <v>130</v>
      </c>
      <c r="B114" s="2" t="s">
        <v>141</v>
      </c>
      <c r="C114" s="2" t="s">
        <v>147</v>
      </c>
      <c r="D114" s="6">
        <v>2019.0</v>
      </c>
      <c r="E114" s="6">
        <v>1594.0</v>
      </c>
      <c r="F114" s="6">
        <v>1345.5</v>
      </c>
      <c r="G114" s="6">
        <v>1368.5</v>
      </c>
      <c r="H114" s="6">
        <v>1172.0</v>
      </c>
      <c r="I114" s="6">
        <v>1144.5</v>
      </c>
      <c r="J114" s="6">
        <v>8643.5</v>
      </c>
    </row>
    <row r="115" ht="15.75" customHeight="1">
      <c r="A115" s="2" t="s">
        <v>130</v>
      </c>
      <c r="B115" s="2" t="s">
        <v>141</v>
      </c>
      <c r="C115" s="2" t="s">
        <v>149</v>
      </c>
      <c r="D115" s="6">
        <v>2048.0</v>
      </c>
      <c r="E115" s="6">
        <v>1610.5</v>
      </c>
      <c r="F115" s="6">
        <v>1267.5</v>
      </c>
      <c r="G115" s="6">
        <v>1242.5</v>
      </c>
      <c r="H115" s="6">
        <v>1008.0</v>
      </c>
      <c r="I115" s="6">
        <v>1196.0</v>
      </c>
      <c r="J115" s="6">
        <v>8372.5</v>
      </c>
    </row>
    <row r="116" ht="15.75" customHeight="1">
      <c r="A116" s="2" t="s">
        <v>130</v>
      </c>
      <c r="B116" s="2" t="s">
        <v>141</v>
      </c>
      <c r="C116" s="2" t="s">
        <v>151</v>
      </c>
      <c r="D116" s="6">
        <v>2017.0</v>
      </c>
      <c r="E116" s="6">
        <v>1454.0</v>
      </c>
      <c r="F116" s="6">
        <v>1226.5</v>
      </c>
      <c r="G116" s="6">
        <v>1096.0</v>
      </c>
      <c r="H116" s="6">
        <v>892.0</v>
      </c>
      <c r="I116" s="6">
        <v>897.5</v>
      </c>
      <c r="J116" s="6">
        <v>7583.0</v>
      </c>
    </row>
    <row r="117" ht="15.75" customHeight="1">
      <c r="A117" s="2" t="s">
        <v>130</v>
      </c>
      <c r="B117" s="2" t="s">
        <v>141</v>
      </c>
      <c r="C117" s="2" t="s">
        <v>152</v>
      </c>
      <c r="D117" s="6">
        <v>610.0</v>
      </c>
      <c r="E117" s="6">
        <v>560.0</v>
      </c>
      <c r="F117" s="6">
        <v>402.5</v>
      </c>
      <c r="G117" s="6">
        <v>492.5</v>
      </c>
      <c r="H117" s="6">
        <v>567.0</v>
      </c>
      <c r="I117" s="6">
        <v>1013.5</v>
      </c>
      <c r="J117" s="6">
        <v>3645.5</v>
      </c>
    </row>
    <row r="118" ht="15.75" customHeight="1">
      <c r="A118" s="2" t="s">
        <v>130</v>
      </c>
      <c r="B118" s="2" t="s">
        <v>141</v>
      </c>
      <c r="C118" s="2" t="s">
        <v>153</v>
      </c>
      <c r="D118" s="6"/>
      <c r="E118" s="6"/>
      <c r="F118" s="6"/>
      <c r="G118" s="6">
        <v>233.5</v>
      </c>
      <c r="H118" s="6">
        <v>1008.0</v>
      </c>
      <c r="I118" s="6">
        <v>1394.5</v>
      </c>
      <c r="J118" s="6">
        <v>2636.0</v>
      </c>
    </row>
    <row r="119" ht="15.75" customHeight="1">
      <c r="A119" s="2" t="s">
        <v>155</v>
      </c>
      <c r="B119" s="2" t="s">
        <v>156</v>
      </c>
      <c r="C119" s="2" t="s">
        <v>157</v>
      </c>
      <c r="D119" s="6">
        <v>4446.0</v>
      </c>
      <c r="E119" s="6">
        <v>4124.0</v>
      </c>
      <c r="F119" s="6">
        <v>3778.0</v>
      </c>
      <c r="G119" s="6">
        <v>3004.5</v>
      </c>
      <c r="H119" s="6">
        <v>2127.5</v>
      </c>
      <c r="I119" s="6">
        <v>1682.0</v>
      </c>
      <c r="J119" s="6">
        <v>19162.0</v>
      </c>
    </row>
    <row r="120" ht="15.75" customHeight="1">
      <c r="A120" s="2" t="s">
        <v>155</v>
      </c>
      <c r="B120" s="2" t="s">
        <v>156</v>
      </c>
      <c r="C120" s="2" t="s">
        <v>159</v>
      </c>
      <c r="D120" s="6">
        <v>3839.5</v>
      </c>
      <c r="E120" s="6">
        <v>3801.5</v>
      </c>
      <c r="F120" s="6">
        <v>3480.5</v>
      </c>
      <c r="G120" s="6">
        <v>3353.5</v>
      </c>
      <c r="H120" s="6">
        <v>2249.0</v>
      </c>
      <c r="I120" s="6">
        <v>2424.5</v>
      </c>
      <c r="J120" s="6">
        <v>19148.5</v>
      </c>
    </row>
    <row r="121" ht="15.75" customHeight="1">
      <c r="A121" s="2" t="s">
        <v>155</v>
      </c>
      <c r="B121" s="2" t="s">
        <v>156</v>
      </c>
      <c r="C121" s="2" t="s">
        <v>160</v>
      </c>
      <c r="D121" s="6">
        <v>4382.0</v>
      </c>
      <c r="E121" s="6">
        <v>3699.5</v>
      </c>
      <c r="F121" s="6">
        <v>2635.0</v>
      </c>
      <c r="G121" s="6">
        <v>2709.0</v>
      </c>
      <c r="H121" s="6">
        <v>2094.0</v>
      </c>
      <c r="I121" s="6">
        <v>2002.5</v>
      </c>
      <c r="J121" s="6">
        <v>17522.0</v>
      </c>
    </row>
    <row r="122" ht="15.75" customHeight="1">
      <c r="A122" s="2" t="s">
        <v>155</v>
      </c>
      <c r="B122" s="2" t="s">
        <v>156</v>
      </c>
      <c r="C122" s="2" t="s">
        <v>162</v>
      </c>
      <c r="D122" s="6">
        <v>2977.5</v>
      </c>
      <c r="E122" s="6">
        <v>3040.0</v>
      </c>
      <c r="F122" s="6">
        <v>2748.5</v>
      </c>
      <c r="G122" s="6">
        <v>2561.5</v>
      </c>
      <c r="H122" s="6">
        <v>2194.5</v>
      </c>
      <c r="I122" s="6">
        <v>2260.0</v>
      </c>
      <c r="J122" s="6">
        <v>15782.0</v>
      </c>
    </row>
    <row r="123" ht="15.75" customHeight="1">
      <c r="A123" s="2" t="s">
        <v>155</v>
      </c>
      <c r="B123" s="2" t="s">
        <v>156</v>
      </c>
      <c r="C123" s="2" t="s">
        <v>163</v>
      </c>
      <c r="D123" s="6">
        <v>2639.0</v>
      </c>
      <c r="E123" s="6">
        <v>2493.0</v>
      </c>
      <c r="F123" s="6">
        <v>2323.0</v>
      </c>
      <c r="G123" s="6">
        <v>1990.0</v>
      </c>
      <c r="H123" s="6">
        <v>1547.5</v>
      </c>
      <c r="I123" s="6">
        <v>1568.5</v>
      </c>
      <c r="J123" s="6">
        <v>12561.0</v>
      </c>
    </row>
    <row r="124" ht="15.75" customHeight="1">
      <c r="A124" s="2" t="s">
        <v>155</v>
      </c>
      <c r="B124" s="2" t="s">
        <v>156</v>
      </c>
      <c r="C124" s="2" t="s">
        <v>165</v>
      </c>
      <c r="D124" s="6">
        <v>2203.5</v>
      </c>
      <c r="E124" s="6">
        <v>1945.0</v>
      </c>
      <c r="F124" s="6">
        <v>1511.0</v>
      </c>
      <c r="G124" s="6">
        <v>1572.5</v>
      </c>
      <c r="H124" s="6">
        <v>1468.0</v>
      </c>
      <c r="I124" s="6">
        <v>1503.5</v>
      </c>
      <c r="J124" s="6">
        <v>10203.5</v>
      </c>
    </row>
    <row r="125" ht="15.75" customHeight="1">
      <c r="A125" s="2" t="s">
        <v>155</v>
      </c>
      <c r="B125" s="2" t="s">
        <v>156</v>
      </c>
      <c r="C125" s="2" t="s">
        <v>166</v>
      </c>
      <c r="D125" s="6">
        <v>918.5</v>
      </c>
      <c r="E125" s="6">
        <v>1186.0</v>
      </c>
      <c r="F125" s="6">
        <v>1283.5</v>
      </c>
      <c r="G125" s="6">
        <v>1727.0</v>
      </c>
      <c r="H125" s="6">
        <v>1698.0</v>
      </c>
      <c r="I125" s="6">
        <v>1567.0</v>
      </c>
      <c r="J125" s="6">
        <v>8380.0</v>
      </c>
    </row>
    <row r="126" ht="15.75" customHeight="1">
      <c r="A126" s="2" t="s">
        <v>155</v>
      </c>
      <c r="B126" s="2" t="s">
        <v>156</v>
      </c>
      <c r="C126" s="2" t="s">
        <v>168</v>
      </c>
      <c r="D126" s="6">
        <v>1762.0</v>
      </c>
      <c r="E126" s="6">
        <v>1470.5</v>
      </c>
      <c r="F126" s="6">
        <v>1570.5</v>
      </c>
      <c r="G126" s="6">
        <v>1318.5</v>
      </c>
      <c r="H126" s="6">
        <v>1078.0</v>
      </c>
      <c r="I126" s="6">
        <v>999.5</v>
      </c>
      <c r="J126" s="6">
        <v>8199.0</v>
      </c>
    </row>
    <row r="127" ht="15.75" customHeight="1">
      <c r="A127" s="2" t="s">
        <v>155</v>
      </c>
      <c r="B127" s="2" t="s">
        <v>156</v>
      </c>
      <c r="C127" s="2" t="s">
        <v>169</v>
      </c>
      <c r="D127" s="6">
        <v>865.5</v>
      </c>
      <c r="E127" s="6">
        <v>961.0</v>
      </c>
      <c r="F127" s="6">
        <v>867.5</v>
      </c>
      <c r="G127" s="6">
        <v>853.5</v>
      </c>
      <c r="H127" s="6">
        <v>849.5</v>
      </c>
      <c r="I127" s="6">
        <v>805.0</v>
      </c>
      <c r="J127" s="6">
        <v>5202.0</v>
      </c>
    </row>
    <row r="128" ht="15.75" customHeight="1">
      <c r="A128" s="2" t="s">
        <v>155</v>
      </c>
      <c r="B128" s="2" t="s">
        <v>156</v>
      </c>
      <c r="C128" s="2" t="s">
        <v>170</v>
      </c>
      <c r="D128" s="6"/>
      <c r="E128" s="6"/>
      <c r="F128" s="6"/>
      <c r="G128" s="6">
        <v>265.5</v>
      </c>
      <c r="H128" s="6">
        <v>704.0</v>
      </c>
      <c r="I128" s="6">
        <v>655.0</v>
      </c>
      <c r="J128" s="6">
        <v>1624.5</v>
      </c>
    </row>
    <row r="129" ht="15.75" customHeight="1">
      <c r="A129" s="2" t="s">
        <v>155</v>
      </c>
      <c r="B129" s="2" t="s">
        <v>144</v>
      </c>
      <c r="C129" s="2" t="s">
        <v>161</v>
      </c>
      <c r="D129" s="6">
        <v>5478.5</v>
      </c>
      <c r="E129" s="6">
        <v>5057.5</v>
      </c>
      <c r="F129" s="6">
        <v>3447.0</v>
      </c>
      <c r="G129" s="6">
        <v>3256.5</v>
      </c>
      <c r="H129" s="6">
        <v>2541.5</v>
      </c>
      <c r="I129" s="6">
        <v>2983.0</v>
      </c>
      <c r="J129" s="6">
        <v>22764.0</v>
      </c>
    </row>
    <row r="130" ht="15.75" customHeight="1">
      <c r="A130" s="2" t="s">
        <v>155</v>
      </c>
      <c r="B130" s="2" t="s">
        <v>144</v>
      </c>
      <c r="C130" s="2" t="s">
        <v>148</v>
      </c>
      <c r="D130" s="6">
        <v>4315.5</v>
      </c>
      <c r="E130" s="6">
        <v>4367.0</v>
      </c>
      <c r="F130" s="6">
        <v>3244.0</v>
      </c>
      <c r="G130" s="6">
        <v>3360.5</v>
      </c>
      <c r="H130" s="6">
        <v>2704.0</v>
      </c>
      <c r="I130" s="6">
        <v>2686.5</v>
      </c>
      <c r="J130" s="6">
        <v>20677.5</v>
      </c>
    </row>
    <row r="131" ht="15.75" customHeight="1">
      <c r="A131" s="2" t="s">
        <v>155</v>
      </c>
      <c r="B131" s="2" t="s">
        <v>144</v>
      </c>
      <c r="C131" s="2" t="s">
        <v>164</v>
      </c>
      <c r="D131" s="6">
        <v>3881.5</v>
      </c>
      <c r="E131" s="6">
        <v>4092.0</v>
      </c>
      <c r="F131" s="6">
        <v>2442.5</v>
      </c>
      <c r="G131" s="6">
        <v>2192.5</v>
      </c>
      <c r="H131" s="6">
        <v>1998.5</v>
      </c>
      <c r="I131" s="6">
        <v>2491.0</v>
      </c>
      <c r="J131" s="6">
        <v>17098.0</v>
      </c>
    </row>
    <row r="132" ht="15.75" customHeight="1">
      <c r="A132" s="2" t="s">
        <v>155</v>
      </c>
      <c r="B132" s="2" t="s">
        <v>144</v>
      </c>
      <c r="C132" s="2" t="s">
        <v>145</v>
      </c>
      <c r="D132" s="6">
        <v>1546.5</v>
      </c>
      <c r="E132" s="6">
        <v>1514.5</v>
      </c>
      <c r="F132" s="6">
        <v>1523.5</v>
      </c>
      <c r="G132" s="6">
        <v>1630.5</v>
      </c>
      <c r="H132" s="6">
        <v>1281.0</v>
      </c>
      <c r="I132" s="6">
        <v>1437.5</v>
      </c>
      <c r="J132" s="6">
        <v>8933.5</v>
      </c>
    </row>
    <row r="133" ht="15.75" customHeight="1">
      <c r="A133" s="2" t="s">
        <v>155</v>
      </c>
      <c r="B133" s="2" t="s">
        <v>144</v>
      </c>
      <c r="C133" s="2" t="s">
        <v>150</v>
      </c>
      <c r="D133" s="6">
        <v>1870.0</v>
      </c>
      <c r="E133" s="6">
        <v>1742.5</v>
      </c>
      <c r="F133" s="6">
        <v>1140.0</v>
      </c>
      <c r="G133" s="6">
        <v>1429.0</v>
      </c>
      <c r="H133" s="6">
        <v>923.5</v>
      </c>
      <c r="I133" s="6">
        <v>1077.0</v>
      </c>
      <c r="J133" s="6">
        <v>8182.0</v>
      </c>
    </row>
    <row r="134" ht="15.75" customHeight="1">
      <c r="A134" s="2" t="s">
        <v>155</v>
      </c>
      <c r="B134" s="2" t="s">
        <v>144</v>
      </c>
      <c r="C134" s="2" t="s">
        <v>154</v>
      </c>
      <c r="D134" s="6">
        <v>1677.0</v>
      </c>
      <c r="E134" s="6">
        <v>1668.5</v>
      </c>
      <c r="F134" s="6">
        <v>1147.5</v>
      </c>
      <c r="G134" s="6">
        <v>1186.0</v>
      </c>
      <c r="H134" s="6">
        <v>1018.5</v>
      </c>
      <c r="I134" s="6">
        <v>1309.5</v>
      </c>
      <c r="J134" s="6">
        <v>8007.0</v>
      </c>
    </row>
    <row r="135" ht="15.75" customHeight="1">
      <c r="A135" s="2" t="s">
        <v>155</v>
      </c>
      <c r="B135" s="2" t="s">
        <v>144</v>
      </c>
      <c r="C135" s="2" t="s">
        <v>158</v>
      </c>
      <c r="D135" s="6">
        <v>1218.0</v>
      </c>
      <c r="E135" s="6">
        <v>1192.5</v>
      </c>
      <c r="F135" s="6">
        <v>1182.0</v>
      </c>
      <c r="G135" s="6">
        <v>1135.5</v>
      </c>
      <c r="H135" s="6">
        <v>1076.0</v>
      </c>
      <c r="I135" s="6">
        <v>1113.5</v>
      </c>
      <c r="J135" s="6">
        <v>6917.5</v>
      </c>
    </row>
    <row r="136" ht="15.75" customHeight="1">
      <c r="A136" s="2" t="s">
        <v>155</v>
      </c>
      <c r="B136" s="2" t="s">
        <v>144</v>
      </c>
      <c r="C136" s="2" t="s">
        <v>167</v>
      </c>
      <c r="D136" s="6">
        <v>955.5</v>
      </c>
      <c r="E136" s="6">
        <v>836.0</v>
      </c>
      <c r="F136" s="6">
        <v>815.5</v>
      </c>
      <c r="G136" s="6">
        <v>678.5</v>
      </c>
      <c r="H136" s="6">
        <v>888.5</v>
      </c>
      <c r="I136" s="6">
        <v>1000.0</v>
      </c>
      <c r="J136" s="6">
        <v>5174.0</v>
      </c>
    </row>
    <row r="137" ht="15.75" customHeight="1">
      <c r="D137" s="6">
        <v>251831.5</v>
      </c>
      <c r="E137" s="6">
        <v>244179.0</v>
      </c>
      <c r="F137" s="6">
        <v>195464.0</v>
      </c>
      <c r="G137" s="6">
        <v>220998.5</v>
      </c>
      <c r="H137" s="6">
        <v>207550.5</v>
      </c>
      <c r="I137" s="6">
        <v>239650.0</v>
      </c>
      <c r="J137" s="6">
        <v>1359673.5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J$137">
    <sortState ref="A1:J137">
      <sortCondition ref="B1:B137"/>
      <sortCondition ref="A1:A13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1"/>
      <c r="D1" s="4" t="s">
        <v>4</v>
      </c>
      <c r="E1" s="4" t="s">
        <v>4</v>
      </c>
      <c r="F1" s="4" t="s">
        <v>4</v>
      </c>
      <c r="G1" s="4" t="s">
        <v>4</v>
      </c>
      <c r="H1" s="4" t="s">
        <v>4</v>
      </c>
      <c r="I1" s="4" t="s">
        <v>4</v>
      </c>
      <c r="J1" s="4" t="s">
        <v>9</v>
      </c>
      <c r="K1" s="7"/>
    </row>
    <row r="2">
      <c r="A2" s="9" t="s">
        <v>0</v>
      </c>
      <c r="B2" s="9" t="s">
        <v>1</v>
      </c>
      <c r="C2" s="9" t="s">
        <v>2</v>
      </c>
      <c r="D2" s="11">
        <v>46113.0</v>
      </c>
      <c r="E2" s="11">
        <v>46143.0</v>
      </c>
      <c r="F2" s="11">
        <v>46174.0</v>
      </c>
      <c r="G2" s="11">
        <v>46204.0</v>
      </c>
      <c r="H2" s="11">
        <v>46235.0</v>
      </c>
      <c r="I2" s="11">
        <v>46266.0</v>
      </c>
      <c r="J2" s="13" t="s">
        <v>5</v>
      </c>
      <c r="K2" s="15" t="s">
        <v>16</v>
      </c>
    </row>
    <row r="3">
      <c r="A3" s="17" t="s">
        <v>6</v>
      </c>
      <c r="B3" s="17" t="s">
        <v>7</v>
      </c>
      <c r="C3" s="17" t="s">
        <v>8</v>
      </c>
      <c r="D3" s="19">
        <v>430.0</v>
      </c>
      <c r="E3" s="20">
        <v>450.0</v>
      </c>
      <c r="F3" s="19">
        <v>450.0</v>
      </c>
      <c r="G3" s="19">
        <v>500.0</v>
      </c>
      <c r="H3" s="19">
        <v>510.0</v>
      </c>
      <c r="I3" s="19">
        <v>580.0</v>
      </c>
      <c r="J3" s="25">
        <f t="shared" ref="J3:J163" si="1">SUM(D3:I3)</f>
        <v>2920</v>
      </c>
      <c r="K3" s="27">
        <f t="shared" ref="K3:K163" si="2">J3*$K$164/$J$164</f>
        <v>0.002031691735</v>
      </c>
    </row>
    <row r="4">
      <c r="A4" s="17" t="s">
        <v>6</v>
      </c>
      <c r="B4" s="17" t="s">
        <v>7</v>
      </c>
      <c r="C4" s="17" t="s">
        <v>10</v>
      </c>
      <c r="D4" s="19">
        <v>1000.0</v>
      </c>
      <c r="E4" s="20">
        <v>1100.0</v>
      </c>
      <c r="F4" s="19">
        <v>977.60856</v>
      </c>
      <c r="G4" s="19">
        <v>966.925634008</v>
      </c>
      <c r="H4" s="19">
        <v>950.6799612183647</v>
      </c>
      <c r="I4" s="19">
        <v>967.4607399191799</v>
      </c>
      <c r="J4" s="25">
        <f t="shared" si="1"/>
        <v>5962.674895</v>
      </c>
      <c r="K4" s="27">
        <f t="shared" si="2"/>
        <v>0.004148738803</v>
      </c>
    </row>
    <row r="5">
      <c r="A5" s="17" t="s">
        <v>6</v>
      </c>
      <c r="B5" s="17" t="s">
        <v>7</v>
      </c>
      <c r="C5" s="17" t="s">
        <v>21</v>
      </c>
      <c r="D5" s="19">
        <v>1000.0</v>
      </c>
      <c r="E5" s="19">
        <v>1000.0</v>
      </c>
      <c r="F5" s="19">
        <v>1132.97064</v>
      </c>
      <c r="G5" s="19">
        <v>1122.178960552</v>
      </c>
      <c r="H5" s="19">
        <v>1105.2501731255713</v>
      </c>
      <c r="I5" s="19">
        <v>1127.2090539252779</v>
      </c>
      <c r="J5" s="25">
        <f t="shared" si="1"/>
        <v>6487.608828</v>
      </c>
      <c r="K5" s="27">
        <f t="shared" si="2"/>
        <v>0.004513979875</v>
      </c>
    </row>
    <row r="6">
      <c r="A6" s="17" t="s">
        <v>6</v>
      </c>
      <c r="B6" s="17" t="s">
        <v>7</v>
      </c>
      <c r="C6" s="17" t="s">
        <v>11</v>
      </c>
      <c r="D6" s="19">
        <v>5200.0</v>
      </c>
      <c r="E6" s="19">
        <v>5408.0</v>
      </c>
      <c r="F6" s="19">
        <v>5300.0</v>
      </c>
      <c r="G6" s="19">
        <v>5200.0</v>
      </c>
      <c r="H6" s="19">
        <v>5000.0</v>
      </c>
      <c r="I6" s="19">
        <v>5000.0</v>
      </c>
      <c r="J6" s="25">
        <f t="shared" si="1"/>
        <v>31108</v>
      </c>
      <c r="K6" s="27">
        <f t="shared" si="2"/>
        <v>0.02164447483</v>
      </c>
    </row>
    <row r="7">
      <c r="A7" s="17" t="s">
        <v>6</v>
      </c>
      <c r="B7" s="17" t="s">
        <v>7</v>
      </c>
      <c r="C7" s="17" t="s">
        <v>15</v>
      </c>
      <c r="D7" s="19">
        <v>2401.0</v>
      </c>
      <c r="E7" s="19">
        <v>2350.0</v>
      </c>
      <c r="F7" s="19">
        <v>2309.0</v>
      </c>
      <c r="G7" s="19">
        <v>2300.0</v>
      </c>
      <c r="H7" s="19">
        <v>2213.0</v>
      </c>
      <c r="I7" s="19">
        <v>2120.0</v>
      </c>
      <c r="J7" s="25">
        <f t="shared" si="1"/>
        <v>13693</v>
      </c>
      <c r="K7" s="27">
        <f t="shared" si="2"/>
        <v>0.009527381825</v>
      </c>
    </row>
    <row r="8">
      <c r="A8" s="17" t="s">
        <v>6</v>
      </c>
      <c r="B8" s="17" t="s">
        <v>7</v>
      </c>
      <c r="C8" s="17" t="s">
        <v>22</v>
      </c>
      <c r="D8" s="19">
        <v>782.75</v>
      </c>
      <c r="E8" s="19">
        <v>800.0</v>
      </c>
      <c r="F8" s="19">
        <v>762.88644</v>
      </c>
      <c r="G8" s="19">
        <v>752.353819492</v>
      </c>
      <c r="H8" s="19">
        <v>737.0522626862352</v>
      </c>
      <c r="I8" s="19">
        <v>746.676513486224</v>
      </c>
      <c r="J8" s="25">
        <f t="shared" si="1"/>
        <v>4581.719036</v>
      </c>
      <c r="K8" s="27">
        <f t="shared" si="2"/>
        <v>0.00318789065</v>
      </c>
    </row>
    <row r="9">
      <c r="A9" s="17" t="s">
        <v>6</v>
      </c>
      <c r="B9" s="17" t="s">
        <v>7</v>
      </c>
      <c r="C9" s="30" t="s">
        <v>46</v>
      </c>
      <c r="D9" s="31">
        <v>0.0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25">
        <f t="shared" si="1"/>
        <v>0</v>
      </c>
      <c r="K9" s="27">
        <f t="shared" si="2"/>
        <v>0</v>
      </c>
    </row>
    <row r="10">
      <c r="A10" s="17" t="s">
        <v>6</v>
      </c>
      <c r="B10" s="17" t="s">
        <v>7</v>
      </c>
      <c r="C10" s="17" t="s">
        <v>17</v>
      </c>
      <c r="D10" s="19">
        <v>2100.0</v>
      </c>
      <c r="E10" s="19">
        <v>2150.0</v>
      </c>
      <c r="F10" s="19">
        <v>2300.0</v>
      </c>
      <c r="G10" s="19">
        <v>2100.0</v>
      </c>
      <c r="H10" s="19">
        <v>2300.0</v>
      </c>
      <c r="I10" s="19">
        <v>2390.0</v>
      </c>
      <c r="J10" s="25">
        <f t="shared" si="1"/>
        <v>13340</v>
      </c>
      <c r="K10" s="27">
        <f t="shared" si="2"/>
        <v>0.009281769776</v>
      </c>
    </row>
    <row r="11">
      <c r="A11" s="17" t="s">
        <v>6</v>
      </c>
      <c r="B11" s="17" t="s">
        <v>7</v>
      </c>
      <c r="C11" s="17" t="s">
        <v>23</v>
      </c>
      <c r="D11" s="19">
        <v>530.0</v>
      </c>
      <c r="E11" s="19">
        <f>D11-(0.008*D11)</f>
        <v>525.76</v>
      </c>
      <c r="F11" s="19">
        <v>526.0</v>
      </c>
      <c r="G11" s="19">
        <v>505.55961644799993</v>
      </c>
      <c r="H11" s="19">
        <v>506.0</v>
      </c>
      <c r="I11" s="19">
        <v>526.0</v>
      </c>
      <c r="J11" s="25">
        <f t="shared" si="1"/>
        <v>3119.319616</v>
      </c>
      <c r="K11" s="27">
        <f t="shared" si="2"/>
        <v>0.002170375303</v>
      </c>
    </row>
    <row r="12">
      <c r="A12" s="17" t="s">
        <v>6</v>
      </c>
      <c r="B12" s="17" t="s">
        <v>7</v>
      </c>
      <c r="C12" s="17" t="s">
        <v>12</v>
      </c>
      <c r="D12" s="19">
        <v>5210.0</v>
      </c>
      <c r="E12" s="19">
        <v>5000.0</v>
      </c>
      <c r="F12" s="19">
        <v>4900.0</v>
      </c>
      <c r="G12" s="19">
        <v>4800.0</v>
      </c>
      <c r="H12" s="19">
        <v>5000.0</v>
      </c>
      <c r="I12" s="19">
        <v>5000.0</v>
      </c>
      <c r="J12" s="25">
        <f t="shared" si="1"/>
        <v>29910</v>
      </c>
      <c r="K12" s="27">
        <f t="shared" si="2"/>
        <v>0.02081092459</v>
      </c>
    </row>
    <row r="13">
      <c r="A13" s="17" t="s">
        <v>6</v>
      </c>
      <c r="B13" s="17" t="s">
        <v>7</v>
      </c>
      <c r="C13" s="17" t="s">
        <v>20</v>
      </c>
      <c r="D13" s="19">
        <v>1638.5</v>
      </c>
      <c r="E13" s="19">
        <v>1701.0</v>
      </c>
      <c r="F13" s="19">
        <v>1639.0</v>
      </c>
      <c r="G13" s="19">
        <v>1600.0</v>
      </c>
      <c r="H13" s="19">
        <v>1701.0</v>
      </c>
      <c r="I13" s="19">
        <v>1705.0</v>
      </c>
      <c r="J13" s="25">
        <f t="shared" si="1"/>
        <v>9984.5</v>
      </c>
      <c r="K13" s="27">
        <f t="shared" si="2"/>
        <v>0.006947063743</v>
      </c>
    </row>
    <row r="14">
      <c r="A14" s="17" t="s">
        <v>6</v>
      </c>
      <c r="B14" s="17" t="s">
        <v>7</v>
      </c>
      <c r="C14" s="17" t="s">
        <v>18</v>
      </c>
      <c r="D14" s="19">
        <v>2800.0</v>
      </c>
      <c r="E14" s="19">
        <f>D14-(0.008*D14)</f>
        <v>2777.6</v>
      </c>
      <c r="F14" s="19">
        <v>2609.0</v>
      </c>
      <c r="G14" s="19">
        <v>2700.343671412</v>
      </c>
      <c r="H14" s="19">
        <v>2348.0</v>
      </c>
      <c r="I14" s="19">
        <v>2401.0</v>
      </c>
      <c r="J14" s="25">
        <f t="shared" si="1"/>
        <v>15635.94367</v>
      </c>
      <c r="K14" s="27">
        <f t="shared" si="2"/>
        <v>0.01087925258</v>
      </c>
    </row>
    <row r="15">
      <c r="A15" s="17" t="s">
        <v>6</v>
      </c>
      <c r="B15" s="17" t="s">
        <v>7</v>
      </c>
      <c r="C15" s="30" t="s">
        <v>60</v>
      </c>
      <c r="D15" s="31">
        <v>0.0</v>
      </c>
      <c r="E15" s="31">
        <v>0.0</v>
      </c>
      <c r="F15" s="31">
        <v>0.0</v>
      </c>
      <c r="G15" s="31">
        <v>0.0</v>
      </c>
      <c r="H15" s="31">
        <v>0.0</v>
      </c>
      <c r="I15" s="31">
        <v>0.0</v>
      </c>
      <c r="J15" s="25">
        <f t="shared" si="1"/>
        <v>0</v>
      </c>
      <c r="K15" s="27">
        <f t="shared" si="2"/>
        <v>0</v>
      </c>
    </row>
    <row r="16">
      <c r="A16" s="17" t="s">
        <v>6</v>
      </c>
      <c r="B16" s="17" t="s">
        <v>7</v>
      </c>
      <c r="C16" s="17" t="s">
        <v>14</v>
      </c>
      <c r="D16" s="19">
        <v>3590.0</v>
      </c>
      <c r="E16" s="19">
        <f>D16-(0.008*D16)</f>
        <v>3561.28</v>
      </c>
      <c r="F16" s="19">
        <v>3505.90656</v>
      </c>
      <c r="G16" s="19">
        <v>3493.453825408</v>
      </c>
      <c r="H16" s="19">
        <v>3466.0914285762046</v>
      </c>
      <c r="I16" s="19">
        <v>3567.1384914335076</v>
      </c>
      <c r="J16" s="25">
        <f t="shared" si="1"/>
        <v>21183.87031</v>
      </c>
      <c r="K16" s="27">
        <f t="shared" si="2"/>
        <v>0.01473941583</v>
      </c>
    </row>
    <row r="17">
      <c r="A17" s="17" t="s">
        <v>6</v>
      </c>
      <c r="B17" s="17" t="s">
        <v>7</v>
      </c>
      <c r="C17" s="30" t="s">
        <v>64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25">
        <f t="shared" si="1"/>
        <v>0</v>
      </c>
      <c r="K17" s="27">
        <f t="shared" si="2"/>
        <v>0</v>
      </c>
    </row>
    <row r="18">
      <c r="A18" s="17" t="s">
        <v>6</v>
      </c>
      <c r="B18" s="17" t="s">
        <v>7</v>
      </c>
      <c r="C18" s="17" t="s">
        <v>13</v>
      </c>
      <c r="D18" s="19">
        <v>5590.0</v>
      </c>
      <c r="E18" s="20">
        <v>5000.0</v>
      </c>
      <c r="F18" s="19">
        <v>5011.892760000001</v>
      </c>
      <c r="G18" s="19">
        <v>5000.0</v>
      </c>
      <c r="H18" s="19">
        <v>5000.0</v>
      </c>
      <c r="I18" s="19">
        <v>5000.0</v>
      </c>
      <c r="J18" s="25">
        <f t="shared" si="1"/>
        <v>30601.89276</v>
      </c>
      <c r="K18" s="27">
        <f t="shared" si="2"/>
        <v>0.02129233308</v>
      </c>
    </row>
    <row r="19">
      <c r="A19" s="17" t="s">
        <v>6</v>
      </c>
      <c r="B19" s="17" t="s">
        <v>7</v>
      </c>
      <c r="C19" s="17" t="s">
        <v>19</v>
      </c>
      <c r="D19" s="19">
        <v>2438.75</v>
      </c>
      <c r="E19" s="19">
        <v>2309.0</v>
      </c>
      <c r="F19" s="19">
        <v>2380.99716</v>
      </c>
      <c r="G19" s="19">
        <v>2369.3318619879997</v>
      </c>
      <c r="H19" s="19">
        <v>2346.9156017952523</v>
      </c>
      <c r="I19" s="19">
        <v>2410.4702744553933</v>
      </c>
      <c r="J19" s="25">
        <f t="shared" si="1"/>
        <v>14255.4649</v>
      </c>
      <c r="K19" s="27">
        <f t="shared" si="2"/>
        <v>0.009918736375</v>
      </c>
    </row>
    <row r="20">
      <c r="A20" s="17" t="s">
        <v>6</v>
      </c>
      <c r="B20" s="17" t="s">
        <v>24</v>
      </c>
      <c r="C20" s="30" t="s">
        <v>73</v>
      </c>
      <c r="D20" s="31">
        <v>0.0</v>
      </c>
      <c r="E20" s="31">
        <v>0.0</v>
      </c>
      <c r="F20" s="31">
        <v>0.0</v>
      </c>
      <c r="G20" s="31">
        <v>100.0</v>
      </c>
      <c r="H20" s="31">
        <v>150.0</v>
      </c>
      <c r="I20" s="31">
        <v>200.0</v>
      </c>
      <c r="J20" s="25">
        <f t="shared" si="1"/>
        <v>450</v>
      </c>
      <c r="K20" s="27">
        <f t="shared" si="2"/>
        <v>0.0003131031784</v>
      </c>
    </row>
    <row r="21">
      <c r="A21" s="17" t="s">
        <v>6</v>
      </c>
      <c r="B21" s="17" t="s">
        <v>24</v>
      </c>
      <c r="C21" s="17" t="s">
        <v>32</v>
      </c>
      <c r="D21" s="19">
        <v>350.0</v>
      </c>
      <c r="E21" s="19">
        <f t="shared" ref="E21:E22" si="3">D21-(0.008*D21)</f>
        <v>347.2</v>
      </c>
      <c r="F21" s="19">
        <v>340.0</v>
      </c>
      <c r="G21" s="19">
        <v>301.972707112</v>
      </c>
      <c r="H21" s="19">
        <v>330.0</v>
      </c>
      <c r="I21" s="19">
        <v>390.0</v>
      </c>
      <c r="J21" s="25">
        <f t="shared" si="1"/>
        <v>2059.172707</v>
      </c>
      <c r="K21" s="27">
        <f t="shared" si="2"/>
        <v>0.001432741154</v>
      </c>
    </row>
    <row r="22">
      <c r="A22" s="17" t="s">
        <v>6</v>
      </c>
      <c r="B22" s="17" t="s">
        <v>24</v>
      </c>
      <c r="C22" s="17" t="s">
        <v>28</v>
      </c>
      <c r="D22" s="19">
        <v>539.75</v>
      </c>
      <c r="E22" s="19">
        <f t="shared" si="3"/>
        <v>535.432</v>
      </c>
      <c r="F22" s="19">
        <v>530.0</v>
      </c>
      <c r="G22" s="19">
        <v>525.0</v>
      </c>
      <c r="H22" s="19">
        <v>540.0</v>
      </c>
      <c r="I22" s="19">
        <v>630.0</v>
      </c>
      <c r="J22" s="25">
        <f t="shared" si="1"/>
        <v>3300.182</v>
      </c>
      <c r="K22" s="27">
        <f t="shared" si="2"/>
        <v>0.002296216607</v>
      </c>
    </row>
    <row r="23">
      <c r="A23" s="17" t="s">
        <v>6</v>
      </c>
      <c r="B23" s="17" t="s">
        <v>24</v>
      </c>
      <c r="C23" s="17" t="s">
        <v>25</v>
      </c>
      <c r="D23" s="19">
        <v>800.0</v>
      </c>
      <c r="E23" s="20">
        <v>700.0</v>
      </c>
      <c r="F23" s="19">
        <v>750.0</v>
      </c>
      <c r="G23" s="19">
        <v>702.555582676</v>
      </c>
      <c r="H23" s="19">
        <v>790.0</v>
      </c>
      <c r="I23" s="19">
        <v>880.0</v>
      </c>
      <c r="J23" s="25">
        <f t="shared" si="1"/>
        <v>4622.555583</v>
      </c>
      <c r="K23" s="27">
        <f t="shared" si="2"/>
        <v>0.0032163041</v>
      </c>
    </row>
    <row r="24">
      <c r="A24" s="17" t="s">
        <v>6</v>
      </c>
      <c r="B24" s="17" t="s">
        <v>24</v>
      </c>
      <c r="C24" s="30" t="s">
        <v>80</v>
      </c>
      <c r="D24" s="31">
        <v>0.0</v>
      </c>
      <c r="E24" s="31">
        <v>0.0</v>
      </c>
      <c r="F24" s="31">
        <v>0.0</v>
      </c>
      <c r="G24" s="31">
        <v>0.0</v>
      </c>
      <c r="H24" s="31">
        <v>98.0</v>
      </c>
      <c r="I24" s="31">
        <v>135.0</v>
      </c>
      <c r="J24" s="25">
        <f t="shared" si="1"/>
        <v>233</v>
      </c>
      <c r="K24" s="27">
        <f t="shared" si="2"/>
        <v>0.0001621178679</v>
      </c>
    </row>
    <row r="25">
      <c r="A25" s="17" t="s">
        <v>6</v>
      </c>
      <c r="B25" s="17" t="s">
        <v>24</v>
      </c>
      <c r="C25" s="17" t="s">
        <v>30</v>
      </c>
      <c r="D25" s="19">
        <v>440.75</v>
      </c>
      <c r="E25" s="19">
        <v>502.0</v>
      </c>
      <c r="F25" s="19">
        <v>490.0</v>
      </c>
      <c r="G25" s="19">
        <v>480.0</v>
      </c>
      <c r="H25" s="19">
        <v>600.0</v>
      </c>
      <c r="I25" s="19">
        <v>640.0</v>
      </c>
      <c r="J25" s="25">
        <f t="shared" si="1"/>
        <v>3152.75</v>
      </c>
      <c r="K25" s="27">
        <f t="shared" si="2"/>
        <v>0.002193635657</v>
      </c>
    </row>
    <row r="26">
      <c r="A26" s="17" t="s">
        <v>6</v>
      </c>
      <c r="B26" s="17" t="s">
        <v>24</v>
      </c>
      <c r="C26" s="17" t="s">
        <v>27</v>
      </c>
      <c r="D26" s="19">
        <v>459.5</v>
      </c>
      <c r="E26" s="19">
        <f>D26-(0.008*D26)</f>
        <v>455.824</v>
      </c>
      <c r="F26" s="19">
        <v>447.0324</v>
      </c>
      <c r="G26" s="19">
        <v>450.0</v>
      </c>
      <c r="H26" s="19">
        <v>500.0</v>
      </c>
      <c r="I26" s="19">
        <v>570.0</v>
      </c>
      <c r="J26" s="25">
        <f t="shared" si="1"/>
        <v>2882.3564</v>
      </c>
      <c r="K26" s="27">
        <f t="shared" si="2"/>
        <v>0.002005499889</v>
      </c>
    </row>
    <row r="27">
      <c r="A27" s="17" t="s">
        <v>6</v>
      </c>
      <c r="B27" s="17" t="s">
        <v>24</v>
      </c>
      <c r="C27" s="30" t="s">
        <v>34</v>
      </c>
      <c r="D27" s="31">
        <v>0.0</v>
      </c>
      <c r="E27" s="31">
        <v>0.0</v>
      </c>
      <c r="F27" s="31">
        <v>0.0</v>
      </c>
      <c r="G27" s="31">
        <v>101.0</v>
      </c>
      <c r="H27" s="31">
        <v>179.0</v>
      </c>
      <c r="I27" s="31">
        <v>209.0</v>
      </c>
      <c r="J27" s="25">
        <f t="shared" si="1"/>
        <v>489</v>
      </c>
      <c r="K27" s="27">
        <f t="shared" si="2"/>
        <v>0.0003402387872</v>
      </c>
    </row>
    <row r="28">
      <c r="A28" s="17" t="s">
        <v>6</v>
      </c>
      <c r="B28" s="17" t="s">
        <v>24</v>
      </c>
      <c r="C28" s="17" t="s">
        <v>26</v>
      </c>
      <c r="D28" s="19">
        <v>527.0</v>
      </c>
      <c r="E28" s="19">
        <f>D28-(0.008*D28)</f>
        <v>522.784</v>
      </c>
      <c r="F28" s="19">
        <v>512.9879999999999</v>
      </c>
      <c r="G28" s="19">
        <v>502.63030839999993</v>
      </c>
      <c r="H28" s="19">
        <v>550.0</v>
      </c>
      <c r="I28" s="19">
        <v>600.0</v>
      </c>
      <c r="J28" s="25">
        <f t="shared" si="1"/>
        <v>3215.402308</v>
      </c>
      <c r="K28" s="27">
        <f t="shared" si="2"/>
        <v>0.002237228183</v>
      </c>
    </row>
    <row r="29">
      <c r="A29" s="17" t="s">
        <v>6</v>
      </c>
      <c r="B29" s="17" t="s">
        <v>24</v>
      </c>
      <c r="C29" s="30" t="s">
        <v>92</v>
      </c>
      <c r="D29" s="31">
        <v>0.0</v>
      </c>
      <c r="E29" s="31">
        <v>0.0</v>
      </c>
      <c r="F29" s="31">
        <v>0.0</v>
      </c>
      <c r="G29" s="31">
        <v>0.0</v>
      </c>
      <c r="H29" s="31">
        <v>0.0</v>
      </c>
      <c r="I29" s="31">
        <v>103.0</v>
      </c>
      <c r="J29" s="25">
        <f t="shared" si="1"/>
        <v>103</v>
      </c>
      <c r="K29" s="27">
        <f t="shared" si="2"/>
        <v>0.0000716658386</v>
      </c>
    </row>
    <row r="30">
      <c r="A30" s="17" t="s">
        <v>6</v>
      </c>
      <c r="B30" s="17" t="s">
        <v>24</v>
      </c>
      <c r="C30" s="17" t="s">
        <v>31</v>
      </c>
      <c r="D30" s="19">
        <v>422.0</v>
      </c>
      <c r="E30" s="19">
        <f t="shared" ref="E30:E33" si="4">D30-(0.008*D30)</f>
        <v>418.624</v>
      </c>
      <c r="F30" s="19">
        <v>410.3904</v>
      </c>
      <c r="G30" s="19">
        <v>400.10452672</v>
      </c>
      <c r="H30" s="19">
        <v>412.0</v>
      </c>
      <c r="I30" s="19">
        <v>414.0</v>
      </c>
      <c r="J30" s="25">
        <f t="shared" si="1"/>
        <v>2477.118927</v>
      </c>
      <c r="K30" s="27">
        <f t="shared" si="2"/>
        <v>0.001723541798</v>
      </c>
    </row>
    <row r="31">
      <c r="A31" s="17" t="s">
        <v>6</v>
      </c>
      <c r="B31" s="17" t="s">
        <v>35</v>
      </c>
      <c r="C31" s="17" t="s">
        <v>48</v>
      </c>
      <c r="D31" s="19">
        <v>370.25</v>
      </c>
      <c r="E31" s="19">
        <f t="shared" si="4"/>
        <v>367.288</v>
      </c>
      <c r="F31" s="19">
        <v>359.82444</v>
      </c>
      <c r="G31" s="19">
        <v>349.573962892</v>
      </c>
      <c r="H31" s="19">
        <v>336.0446374552752</v>
      </c>
      <c r="I31" s="19">
        <v>332.2351328100269</v>
      </c>
      <c r="J31" s="25">
        <f t="shared" si="1"/>
        <v>2115.216173</v>
      </c>
      <c r="K31" s="27">
        <f t="shared" si="2"/>
        <v>0.001471735348</v>
      </c>
    </row>
    <row r="32">
      <c r="A32" s="17" t="s">
        <v>6</v>
      </c>
      <c r="B32" s="17" t="s">
        <v>35</v>
      </c>
      <c r="C32" s="17" t="s">
        <v>42</v>
      </c>
      <c r="D32" s="19">
        <v>894.5</v>
      </c>
      <c r="E32" s="19">
        <f t="shared" si="4"/>
        <v>887.344</v>
      </c>
      <c r="F32" s="19">
        <v>872.0796</v>
      </c>
      <c r="G32" s="19">
        <v>861.47054428</v>
      </c>
      <c r="H32" s="19">
        <v>900.0</v>
      </c>
      <c r="I32" s="19">
        <v>900.0</v>
      </c>
      <c r="J32" s="25">
        <f t="shared" si="1"/>
        <v>5315.394144</v>
      </c>
      <c r="K32" s="27">
        <f t="shared" si="2"/>
        <v>0.003698370668</v>
      </c>
    </row>
    <row r="33">
      <c r="A33" s="17" t="s">
        <v>6</v>
      </c>
      <c r="B33" s="17" t="s">
        <v>35</v>
      </c>
      <c r="C33" s="17" t="s">
        <v>43</v>
      </c>
      <c r="D33" s="19">
        <v>729.5</v>
      </c>
      <c r="E33" s="19">
        <f t="shared" si="4"/>
        <v>723.664</v>
      </c>
      <c r="F33" s="19">
        <v>710.8548</v>
      </c>
      <c r="G33" s="19">
        <v>700.35860164</v>
      </c>
      <c r="H33" s="19">
        <v>740.0</v>
      </c>
      <c r="I33" s="19">
        <v>719.0</v>
      </c>
      <c r="J33" s="25">
        <f t="shared" si="1"/>
        <v>4323.377402</v>
      </c>
      <c r="K33" s="27">
        <f t="shared" si="2"/>
        <v>0.003008140457</v>
      </c>
    </row>
    <row r="34">
      <c r="A34" s="17" t="s">
        <v>6</v>
      </c>
      <c r="B34" s="17" t="s">
        <v>35</v>
      </c>
      <c r="C34" s="30" t="s">
        <v>49</v>
      </c>
      <c r="D34" s="31">
        <v>0.0</v>
      </c>
      <c r="E34" s="31">
        <v>0.0</v>
      </c>
      <c r="F34" s="31">
        <v>0.0</v>
      </c>
      <c r="G34" s="31">
        <v>0.0</v>
      </c>
      <c r="H34" s="31">
        <v>103.0</v>
      </c>
      <c r="I34" s="31">
        <v>235.0</v>
      </c>
      <c r="J34" s="25">
        <f t="shared" si="1"/>
        <v>338</v>
      </c>
      <c r="K34" s="27">
        <f t="shared" si="2"/>
        <v>0.0002351752762</v>
      </c>
    </row>
    <row r="35">
      <c r="A35" s="17" t="s">
        <v>6</v>
      </c>
      <c r="B35" s="17" t="s">
        <v>35</v>
      </c>
      <c r="C35" s="17" t="s">
        <v>44</v>
      </c>
      <c r="D35" s="19">
        <v>758.0</v>
      </c>
      <c r="E35" s="19">
        <f t="shared" ref="E35:E37" si="5">D35-(0.008*D35)</f>
        <v>751.936</v>
      </c>
      <c r="F35" s="19">
        <v>738.70272</v>
      </c>
      <c r="G35" s="19">
        <v>728.187028096</v>
      </c>
      <c r="H35" s="19">
        <v>712.9918051723776</v>
      </c>
      <c r="I35" s="19">
        <v>721.8100306456522</v>
      </c>
      <c r="J35" s="25">
        <f t="shared" si="1"/>
        <v>4411.627584</v>
      </c>
      <c r="K35" s="27">
        <f t="shared" si="2"/>
        <v>0.003069543596</v>
      </c>
    </row>
    <row r="36">
      <c r="A36" s="17" t="s">
        <v>6</v>
      </c>
      <c r="B36" s="17" t="s">
        <v>35</v>
      </c>
      <c r="C36" s="17" t="s">
        <v>39</v>
      </c>
      <c r="D36" s="19">
        <v>938.0</v>
      </c>
      <c r="E36" s="19">
        <f t="shared" si="5"/>
        <v>930.496</v>
      </c>
      <c r="F36" s="19">
        <v>914.5843199999999</v>
      </c>
      <c r="G36" s="19">
        <v>903.9455109759999</v>
      </c>
      <c r="H36" s="19">
        <v>930.0</v>
      </c>
      <c r="I36" s="19">
        <v>1000.0</v>
      </c>
      <c r="J36" s="25">
        <f t="shared" si="1"/>
        <v>5617.025831</v>
      </c>
      <c r="K36" s="27">
        <f t="shared" si="2"/>
        <v>0.003908241424</v>
      </c>
    </row>
    <row r="37">
      <c r="A37" s="17" t="s">
        <v>6</v>
      </c>
      <c r="B37" s="17" t="s">
        <v>35</v>
      </c>
      <c r="C37" s="17" t="s">
        <v>40</v>
      </c>
      <c r="D37" s="19">
        <v>1141.25</v>
      </c>
      <c r="E37" s="19">
        <f t="shared" si="5"/>
        <v>1132.12</v>
      </c>
      <c r="F37" s="19">
        <v>1113.18396</v>
      </c>
      <c r="G37" s="19">
        <v>1102.406131228</v>
      </c>
      <c r="H37" s="19">
        <v>1109.0</v>
      </c>
      <c r="I37" s="19">
        <v>1000.0</v>
      </c>
      <c r="J37" s="25">
        <f t="shared" si="1"/>
        <v>6597.960091</v>
      </c>
      <c r="K37" s="27">
        <f t="shared" si="2"/>
        <v>0.004590760612</v>
      </c>
    </row>
    <row r="38">
      <c r="A38" s="17" t="s">
        <v>6</v>
      </c>
      <c r="B38" s="17" t="s">
        <v>35</v>
      </c>
      <c r="C38" s="30" t="s">
        <v>120</v>
      </c>
      <c r="D38" s="31">
        <v>0.0</v>
      </c>
      <c r="E38" s="34">
        <v>0.0</v>
      </c>
      <c r="F38" s="31">
        <v>0.0</v>
      </c>
      <c r="G38" s="31">
        <v>0.0</v>
      </c>
      <c r="H38" s="31">
        <v>105.0</v>
      </c>
      <c r="I38" s="31">
        <v>279.0</v>
      </c>
      <c r="J38" s="25">
        <f t="shared" si="1"/>
        <v>384</v>
      </c>
      <c r="K38" s="27">
        <f t="shared" si="2"/>
        <v>0.0002671813789</v>
      </c>
    </row>
    <row r="39">
      <c r="A39" s="17" t="s">
        <v>6</v>
      </c>
      <c r="B39" s="17" t="s">
        <v>35</v>
      </c>
      <c r="C39" s="17" t="s">
        <v>47</v>
      </c>
      <c r="D39" s="19">
        <v>225.5</v>
      </c>
      <c r="E39" s="19">
        <f t="shared" ref="E39:E40" si="6">D39-(0.008*D39)</f>
        <v>223.696</v>
      </c>
      <c r="F39" s="19">
        <v>218.38631999999998</v>
      </c>
      <c r="G39" s="19">
        <v>208.234849576</v>
      </c>
      <c r="H39" s="19">
        <v>200.0</v>
      </c>
      <c r="I39" s="19">
        <v>249.0</v>
      </c>
      <c r="J39" s="25">
        <f t="shared" si="1"/>
        <v>1324.81717</v>
      </c>
      <c r="K39" s="27">
        <f t="shared" si="2"/>
        <v>0.0009217877034</v>
      </c>
    </row>
    <row r="40">
      <c r="A40" s="17" t="s">
        <v>6</v>
      </c>
      <c r="B40" s="17" t="s">
        <v>35</v>
      </c>
      <c r="C40" s="17" t="s">
        <v>41</v>
      </c>
      <c r="D40" s="19">
        <v>645.5</v>
      </c>
      <c r="E40" s="19">
        <f t="shared" si="6"/>
        <v>640.336</v>
      </c>
      <c r="F40" s="19">
        <v>628.77672</v>
      </c>
      <c r="G40" s="19">
        <v>618.337976296</v>
      </c>
      <c r="H40" s="19">
        <v>603.6260892002975</v>
      </c>
      <c r="I40" s="19">
        <v>650.0</v>
      </c>
      <c r="J40" s="25">
        <f t="shared" si="1"/>
        <v>3786.576785</v>
      </c>
      <c r="K40" s="27">
        <f t="shared" si="2"/>
        <v>0.002634642726</v>
      </c>
    </row>
    <row r="41">
      <c r="A41" s="17" t="s">
        <v>6</v>
      </c>
      <c r="B41" s="17" t="s">
        <v>35</v>
      </c>
      <c r="C41" s="17" t="s">
        <v>36</v>
      </c>
      <c r="D41" s="19">
        <v>2243.0</v>
      </c>
      <c r="E41" s="20">
        <v>2190.0</v>
      </c>
      <c r="F41" s="19">
        <v>2189.7259200000003</v>
      </c>
      <c r="G41" s="19">
        <v>2178.194511856</v>
      </c>
      <c r="H41" s="19">
        <v>2012.0</v>
      </c>
      <c r="I41" s="19">
        <v>2015.0</v>
      </c>
      <c r="J41" s="25">
        <f t="shared" si="1"/>
        <v>12827.92043</v>
      </c>
      <c r="K41" s="27">
        <f t="shared" si="2"/>
        <v>0.008925472576</v>
      </c>
    </row>
    <row r="42">
      <c r="A42" s="17" t="s">
        <v>6</v>
      </c>
      <c r="B42" s="17" t="s">
        <v>35</v>
      </c>
      <c r="C42" s="17" t="s">
        <v>45</v>
      </c>
      <c r="D42" s="19">
        <v>458.75</v>
      </c>
      <c r="E42" s="19">
        <f t="shared" ref="E42:E49" si="7">D42-(0.008*D42)</f>
        <v>455.08</v>
      </c>
      <c r="F42" s="19">
        <v>446.29956</v>
      </c>
      <c r="G42" s="19">
        <v>435.98855030799996</v>
      </c>
      <c r="H42" s="19">
        <v>500.0</v>
      </c>
      <c r="I42" s="19">
        <v>550.0</v>
      </c>
      <c r="J42" s="25">
        <f t="shared" si="1"/>
        <v>2846.11811</v>
      </c>
      <c r="K42" s="27">
        <f t="shared" si="2"/>
        <v>0.001980285836</v>
      </c>
    </row>
    <row r="43">
      <c r="A43" s="17" t="s">
        <v>6</v>
      </c>
      <c r="B43" s="17" t="s">
        <v>35</v>
      </c>
      <c r="C43" s="17" t="s">
        <v>37</v>
      </c>
      <c r="D43" s="19">
        <v>1274.75</v>
      </c>
      <c r="E43" s="19">
        <f t="shared" si="7"/>
        <v>1264.552</v>
      </c>
      <c r="F43" s="19">
        <v>1243.62948</v>
      </c>
      <c r="G43" s="19">
        <v>1232.760339364</v>
      </c>
      <c r="H43" s="19">
        <v>1300.0</v>
      </c>
      <c r="I43" s="19">
        <v>1370.0</v>
      </c>
      <c r="J43" s="25">
        <f t="shared" si="1"/>
        <v>7685.691819</v>
      </c>
      <c r="K43" s="27">
        <f t="shared" si="2"/>
        <v>0.005347587859</v>
      </c>
    </row>
    <row r="44">
      <c r="A44" s="17" t="s">
        <v>6</v>
      </c>
      <c r="B44" s="17" t="s">
        <v>35</v>
      </c>
      <c r="C44" s="17" t="s">
        <v>38</v>
      </c>
      <c r="D44" s="19">
        <v>1106.75</v>
      </c>
      <c r="E44" s="19">
        <f t="shared" si="7"/>
        <v>1097.896</v>
      </c>
      <c r="F44" s="19">
        <v>1250.0</v>
      </c>
      <c r="G44" s="19">
        <v>1250.0</v>
      </c>
      <c r="H44" s="19">
        <v>1300.0</v>
      </c>
      <c r="I44" s="19">
        <v>1400.0</v>
      </c>
      <c r="J44" s="25">
        <f t="shared" si="1"/>
        <v>7404.646</v>
      </c>
      <c r="K44" s="27">
        <f t="shared" si="2"/>
        <v>0.005152040438</v>
      </c>
    </row>
    <row r="45">
      <c r="A45" s="17" t="s">
        <v>6</v>
      </c>
      <c r="B45" s="17" t="s">
        <v>144</v>
      </c>
      <c r="C45" s="17" t="s">
        <v>145</v>
      </c>
      <c r="D45" s="19">
        <v>1439.75</v>
      </c>
      <c r="E45" s="19">
        <f t="shared" si="7"/>
        <v>1428.232</v>
      </c>
      <c r="F45" s="19">
        <v>1404.85428</v>
      </c>
      <c r="G45" s="19">
        <v>1393.872282004</v>
      </c>
      <c r="H45" s="19">
        <v>1375.7480439631825</v>
      </c>
      <c r="I45" s="19">
        <v>1600.0</v>
      </c>
      <c r="J45" s="25">
        <f t="shared" si="1"/>
        <v>8642.456606</v>
      </c>
      <c r="K45" s="27">
        <f t="shared" si="2"/>
        <v>0.006013290294</v>
      </c>
    </row>
    <row r="46">
      <c r="A46" s="17" t="s">
        <v>6</v>
      </c>
      <c r="B46" s="17" t="s">
        <v>144</v>
      </c>
      <c r="C46" s="17" t="s">
        <v>148</v>
      </c>
      <c r="D46" s="19">
        <v>4541.0</v>
      </c>
      <c r="E46" s="19">
        <f t="shared" si="7"/>
        <v>4504.672</v>
      </c>
      <c r="F46" s="19">
        <v>4435.14768</v>
      </c>
      <c r="G46" s="19">
        <v>4000.0</v>
      </c>
      <c r="H46" s="19">
        <v>4190.0</v>
      </c>
      <c r="I46" s="19">
        <v>4522.6142563379035</v>
      </c>
      <c r="J46" s="25">
        <f t="shared" si="1"/>
        <v>26193.43394</v>
      </c>
      <c r="K46" s="27">
        <f t="shared" si="2"/>
        <v>0.01822499426</v>
      </c>
    </row>
    <row r="47">
      <c r="A47" s="17" t="s">
        <v>6</v>
      </c>
      <c r="B47" s="17" t="s">
        <v>144</v>
      </c>
      <c r="C47" s="17" t="s">
        <v>150</v>
      </c>
      <c r="D47" s="19">
        <v>1864.25</v>
      </c>
      <c r="E47" s="19">
        <f t="shared" si="7"/>
        <v>1849.336</v>
      </c>
      <c r="F47" s="19">
        <v>1819.64172</v>
      </c>
      <c r="G47" s="19">
        <v>1808.369370796</v>
      </c>
      <c r="H47" s="19">
        <v>1788.4213455644976</v>
      </c>
      <c r="I47" s="19">
        <v>1688.0</v>
      </c>
      <c r="J47" s="25">
        <f t="shared" si="1"/>
        <v>10818.01844</v>
      </c>
      <c r="K47" s="27">
        <f t="shared" si="2"/>
        <v>0.007527013236</v>
      </c>
    </row>
    <row r="48">
      <c r="A48" s="17" t="s">
        <v>6</v>
      </c>
      <c r="B48" s="17" t="s">
        <v>144</v>
      </c>
      <c r="C48" s="17" t="s">
        <v>154</v>
      </c>
      <c r="D48" s="19">
        <v>1516.25</v>
      </c>
      <c r="E48" s="19">
        <f t="shared" si="7"/>
        <v>1504.12</v>
      </c>
      <c r="F48" s="19">
        <v>1479.60396</v>
      </c>
      <c r="G48" s="19">
        <v>1468.569637228</v>
      </c>
      <c r="H48" s="19">
        <v>1450.1167308241968</v>
      </c>
      <c r="I48" s="19">
        <v>1483.6286413068074</v>
      </c>
      <c r="J48" s="25">
        <f t="shared" si="1"/>
        <v>8902.288969</v>
      </c>
      <c r="K48" s="27">
        <f t="shared" si="2"/>
        <v>0.006194077713</v>
      </c>
    </row>
    <row r="49">
      <c r="A49" s="17" t="s">
        <v>6</v>
      </c>
      <c r="B49" s="17" t="s">
        <v>144</v>
      </c>
      <c r="C49" s="17" t="s">
        <v>158</v>
      </c>
      <c r="D49" s="19">
        <v>1131.5</v>
      </c>
      <c r="E49" s="19">
        <f t="shared" si="7"/>
        <v>1122.448</v>
      </c>
      <c r="F49" s="19">
        <v>1103.65704</v>
      </c>
      <c r="G49" s="19">
        <v>1092.885880072</v>
      </c>
      <c r="H49" s="19">
        <v>1076.0859821996833</v>
      </c>
      <c r="I49" s="19">
        <v>1097.0678626033728</v>
      </c>
      <c r="J49" s="25">
        <f t="shared" si="1"/>
        <v>6623.644765</v>
      </c>
      <c r="K49" s="27">
        <f t="shared" si="2"/>
        <v>0.004608631618</v>
      </c>
    </row>
    <row r="50">
      <c r="A50" s="17" t="s">
        <v>6</v>
      </c>
      <c r="B50" s="17" t="s">
        <v>144</v>
      </c>
      <c r="C50" s="17" t="s">
        <v>161</v>
      </c>
      <c r="D50" s="19">
        <v>5631.5</v>
      </c>
      <c r="E50" s="19">
        <v>5000.0</v>
      </c>
      <c r="F50" s="19">
        <v>5500.69704</v>
      </c>
      <c r="G50" s="19">
        <v>5109.0</v>
      </c>
      <c r="H50" s="19">
        <v>5000.0</v>
      </c>
      <c r="I50" s="19">
        <v>5123.0</v>
      </c>
      <c r="J50" s="25">
        <f t="shared" si="1"/>
        <v>31364.19704</v>
      </c>
      <c r="K50" s="27">
        <f t="shared" si="2"/>
        <v>0.02182273284</v>
      </c>
    </row>
    <row r="51">
      <c r="A51" s="17" t="s">
        <v>6</v>
      </c>
      <c r="B51" s="17" t="s">
        <v>144</v>
      </c>
      <c r="C51" s="17" t="s">
        <v>164</v>
      </c>
      <c r="D51" s="19">
        <v>4015.25</v>
      </c>
      <c r="E51" s="19">
        <v>3560.0</v>
      </c>
      <c r="F51" s="19">
        <v>3921.4268399999996</v>
      </c>
      <c r="G51" s="19">
        <v>3908.6832412119998</v>
      </c>
      <c r="H51" s="19">
        <v>3500.0</v>
      </c>
      <c r="I51" s="19">
        <v>3601.0</v>
      </c>
      <c r="J51" s="25">
        <f t="shared" si="1"/>
        <v>22506.36008</v>
      </c>
      <c r="K51" s="27">
        <f t="shared" si="2"/>
        <v>0.01565958417</v>
      </c>
    </row>
    <row r="52">
      <c r="A52" s="17" t="s">
        <v>6</v>
      </c>
      <c r="B52" s="17" t="s">
        <v>144</v>
      </c>
      <c r="C52" s="17" t="s">
        <v>167</v>
      </c>
      <c r="D52" s="19">
        <v>818.75</v>
      </c>
      <c r="E52" s="19">
        <f t="shared" ref="E52:E56" si="8">D52-(0.008*D52)</f>
        <v>812.2</v>
      </c>
      <c r="F52" s="19">
        <v>800.0</v>
      </c>
      <c r="G52" s="19">
        <v>787.505516068</v>
      </c>
      <c r="H52" s="19">
        <v>800.0</v>
      </c>
      <c r="I52" s="19">
        <v>850.0</v>
      </c>
      <c r="J52" s="25">
        <f t="shared" si="1"/>
        <v>4868.455516</v>
      </c>
      <c r="K52" s="27">
        <f t="shared" si="2"/>
        <v>0.003387397546</v>
      </c>
    </row>
    <row r="53">
      <c r="A53" s="17" t="s">
        <v>50</v>
      </c>
      <c r="B53" s="17" t="s">
        <v>50</v>
      </c>
      <c r="C53" s="17" t="s">
        <v>58</v>
      </c>
      <c r="D53" s="19">
        <v>1153.25</v>
      </c>
      <c r="E53" s="19">
        <f t="shared" si="8"/>
        <v>1144.024</v>
      </c>
      <c r="F53" s="19">
        <v>1124.9094</v>
      </c>
      <c r="G53" s="19">
        <v>1114.12336342</v>
      </c>
      <c r="H53" s="19">
        <v>1097.230020620952</v>
      </c>
      <c r="I53" s="19">
        <v>1118.9202263117538</v>
      </c>
      <c r="J53" s="25">
        <f t="shared" si="1"/>
        <v>6752.45701</v>
      </c>
      <c r="K53" s="27">
        <f t="shared" si="2"/>
        <v>0.004698257226</v>
      </c>
    </row>
    <row r="54">
      <c r="A54" s="17" t="s">
        <v>50</v>
      </c>
      <c r="B54" s="17" t="s">
        <v>50</v>
      </c>
      <c r="C54" s="17" t="s">
        <v>66</v>
      </c>
      <c r="D54" s="19">
        <v>1292.75</v>
      </c>
      <c r="E54" s="19">
        <f t="shared" si="8"/>
        <v>1282.408</v>
      </c>
      <c r="F54" s="19">
        <v>1261.21764</v>
      </c>
      <c r="G54" s="19">
        <v>1250.336187652</v>
      </c>
      <c r="H54" s="19">
        <v>1309.0</v>
      </c>
      <c r="I54" s="19">
        <v>1340.0</v>
      </c>
      <c r="J54" s="25">
        <f t="shared" si="1"/>
        <v>7735.711828</v>
      </c>
      <c r="K54" s="27">
        <f t="shared" si="2"/>
        <v>0.005382391023</v>
      </c>
    </row>
    <row r="55">
      <c r="A55" s="17" t="s">
        <v>50</v>
      </c>
      <c r="B55" s="17" t="s">
        <v>50</v>
      </c>
      <c r="C55" s="17" t="s">
        <v>53</v>
      </c>
      <c r="D55" s="19">
        <v>2006.0</v>
      </c>
      <c r="E55" s="19">
        <f t="shared" si="8"/>
        <v>1989.952</v>
      </c>
      <c r="F55" s="19">
        <v>2000.0</v>
      </c>
      <c r="G55" s="19">
        <v>2010.0</v>
      </c>
      <c r="H55" s="19">
        <v>2100.0</v>
      </c>
      <c r="I55" s="19">
        <v>2200.0</v>
      </c>
      <c r="J55" s="25">
        <f t="shared" si="1"/>
        <v>12305.952</v>
      </c>
      <c r="K55" s="27">
        <f t="shared" si="2"/>
        <v>0.008562294853</v>
      </c>
    </row>
    <row r="56">
      <c r="A56" s="17" t="s">
        <v>50</v>
      </c>
      <c r="B56" s="17" t="s">
        <v>50</v>
      </c>
      <c r="C56" s="17" t="s">
        <v>55</v>
      </c>
      <c r="D56" s="19">
        <v>1520.75</v>
      </c>
      <c r="E56" s="19">
        <f t="shared" si="8"/>
        <v>1508.584</v>
      </c>
      <c r="F56" s="19">
        <v>1500.0</v>
      </c>
      <c r="G56" s="19">
        <v>1500.0</v>
      </c>
      <c r="H56" s="19">
        <v>1500.0</v>
      </c>
      <c r="I56" s="19">
        <v>1701.0</v>
      </c>
      <c r="J56" s="25">
        <f t="shared" si="1"/>
        <v>9230.334</v>
      </c>
      <c r="K56" s="27">
        <f t="shared" si="2"/>
        <v>0.006422326473</v>
      </c>
    </row>
    <row r="57">
      <c r="A57" s="17" t="s">
        <v>50</v>
      </c>
      <c r="B57" s="17" t="s">
        <v>50</v>
      </c>
      <c r="C57" s="17" t="s">
        <v>63</v>
      </c>
      <c r="D57" s="19">
        <v>3050.75</v>
      </c>
      <c r="E57" s="19">
        <v>2790.0</v>
      </c>
      <c r="F57" s="19">
        <v>2978.9946</v>
      </c>
      <c r="G57" s="19">
        <v>2966.91070378</v>
      </c>
      <c r="H57" s="19">
        <v>2941.865096683368</v>
      </c>
      <c r="I57" s="19">
        <v>3025.350577422261</v>
      </c>
      <c r="J57" s="25">
        <f t="shared" si="1"/>
        <v>17753.87098</v>
      </c>
      <c r="K57" s="27">
        <f t="shared" si="2"/>
        <v>0.01235287429</v>
      </c>
    </row>
    <row r="58">
      <c r="A58" s="17" t="s">
        <v>50</v>
      </c>
      <c r="B58" s="17" t="s">
        <v>50</v>
      </c>
      <c r="C58" s="17" t="s">
        <v>52</v>
      </c>
      <c r="D58" s="19">
        <v>2876.0</v>
      </c>
      <c r="E58" s="19">
        <f t="shared" ref="E58:E62" si="9">D58-(0.008*D58)</f>
        <v>2852.992</v>
      </c>
      <c r="F58" s="19">
        <v>2808.24288</v>
      </c>
      <c r="G58" s="19">
        <v>2796.278509984</v>
      </c>
      <c r="H58" s="19">
        <v>2771.98368454007</v>
      </c>
      <c r="I58" s="19">
        <v>2700.0</v>
      </c>
      <c r="J58" s="25">
        <f t="shared" si="1"/>
        <v>16805.49707</v>
      </c>
      <c r="K58" s="27">
        <f t="shared" si="2"/>
        <v>0.01169301011</v>
      </c>
    </row>
    <row r="59">
      <c r="A59" s="17" t="s">
        <v>50</v>
      </c>
      <c r="B59" s="17" t="s">
        <v>50</v>
      </c>
      <c r="C59" s="17" t="s">
        <v>54</v>
      </c>
      <c r="D59" s="19">
        <v>2378.75</v>
      </c>
      <c r="E59" s="19">
        <f t="shared" si="9"/>
        <v>2359.72</v>
      </c>
      <c r="F59" s="19">
        <v>2322.36996</v>
      </c>
      <c r="G59" s="19">
        <v>2310.745701028</v>
      </c>
      <c r="H59" s="19">
        <v>2288.5872199434766</v>
      </c>
      <c r="I59" s="19">
        <v>2350.187891811583</v>
      </c>
      <c r="J59" s="25">
        <f t="shared" si="1"/>
        <v>14010.36077</v>
      </c>
      <c r="K59" s="27">
        <f t="shared" si="2"/>
        <v>0.00974819664</v>
      </c>
    </row>
    <row r="60">
      <c r="A60" s="17" t="s">
        <v>50</v>
      </c>
      <c r="B60" s="17" t="s">
        <v>50</v>
      </c>
      <c r="C60" s="17" t="s">
        <v>57</v>
      </c>
      <c r="D60" s="19">
        <v>1739.0</v>
      </c>
      <c r="E60" s="19">
        <f t="shared" si="9"/>
        <v>1725.088</v>
      </c>
      <c r="F60" s="19">
        <v>1697.25744</v>
      </c>
      <c r="G60" s="19">
        <v>1686.070759792</v>
      </c>
      <c r="H60" s="19">
        <v>1666.6608484489152</v>
      </c>
      <c r="I60" s="19">
        <v>1707.4269868719539</v>
      </c>
      <c r="J60" s="25">
        <f t="shared" si="1"/>
        <v>10221.50404</v>
      </c>
      <c r="K60" s="27">
        <f t="shared" si="2"/>
        <v>0.007111967558</v>
      </c>
    </row>
    <row r="61">
      <c r="A61" s="17" t="s">
        <v>50</v>
      </c>
      <c r="B61" s="17" t="s">
        <v>50</v>
      </c>
      <c r="C61" s="17" t="s">
        <v>56</v>
      </c>
      <c r="D61" s="19">
        <v>1712.75</v>
      </c>
      <c r="E61" s="19">
        <f t="shared" si="9"/>
        <v>1699.048</v>
      </c>
      <c r="F61" s="19">
        <v>1671.60804</v>
      </c>
      <c r="G61" s="19">
        <v>1660.4393143720001</v>
      </c>
      <c r="H61" s="19">
        <v>1709.0</v>
      </c>
      <c r="I61" s="19">
        <v>1780.0</v>
      </c>
      <c r="J61" s="25">
        <f t="shared" si="1"/>
        <v>10232.84535</v>
      </c>
      <c r="K61" s="27">
        <f t="shared" si="2"/>
        <v>0.007119858676</v>
      </c>
    </row>
    <row r="62">
      <c r="A62" s="17" t="s">
        <v>50</v>
      </c>
      <c r="B62" s="17" t="s">
        <v>50</v>
      </c>
      <c r="C62" s="17" t="s">
        <v>65</v>
      </c>
      <c r="D62" s="19">
        <v>2298.5</v>
      </c>
      <c r="E62" s="19">
        <f t="shared" si="9"/>
        <v>2280.112</v>
      </c>
      <c r="F62" s="19">
        <v>2243.95608</v>
      </c>
      <c r="G62" s="19">
        <v>2100.0</v>
      </c>
      <c r="H62" s="19">
        <v>2330.0</v>
      </c>
      <c r="I62" s="19">
        <v>2650.0</v>
      </c>
      <c r="J62" s="25">
        <f t="shared" si="1"/>
        <v>13902.56808</v>
      </c>
      <c r="K62" s="27">
        <f t="shared" si="2"/>
        <v>0.009673196118</v>
      </c>
    </row>
    <row r="63">
      <c r="A63" s="17" t="s">
        <v>50</v>
      </c>
      <c r="B63" s="17" t="s">
        <v>171</v>
      </c>
      <c r="C63" s="17" t="s">
        <v>69</v>
      </c>
      <c r="D63" s="19">
        <v>4316.0</v>
      </c>
      <c r="E63" s="19">
        <v>4309.0</v>
      </c>
      <c r="F63" s="19">
        <v>4300.0</v>
      </c>
      <c r="G63" s="19">
        <v>4202.346373024</v>
      </c>
      <c r="H63" s="19">
        <v>4042.0</v>
      </c>
      <c r="I63" s="19">
        <v>4296.555321423615</v>
      </c>
      <c r="J63" s="25">
        <f t="shared" si="1"/>
        <v>25465.90169</v>
      </c>
      <c r="K63" s="27">
        <f t="shared" si="2"/>
        <v>0.01771878836</v>
      </c>
    </row>
    <row r="64">
      <c r="A64" s="17" t="s">
        <v>50</v>
      </c>
      <c r="B64" s="17" t="s">
        <v>171</v>
      </c>
      <c r="C64" s="17" t="s">
        <v>70</v>
      </c>
      <c r="D64" s="19">
        <v>4000.0</v>
      </c>
      <c r="E64" s="19">
        <f>D64-(0.008*D64)</f>
        <v>3968</v>
      </c>
      <c r="F64" s="19">
        <v>4100.0</v>
      </c>
      <c r="G64" s="19">
        <v>4100.0</v>
      </c>
      <c r="H64" s="19">
        <v>4109.0</v>
      </c>
      <c r="I64" s="19">
        <v>4123.0</v>
      </c>
      <c r="J64" s="25">
        <f t="shared" si="1"/>
        <v>24400</v>
      </c>
      <c r="K64" s="27">
        <f t="shared" si="2"/>
        <v>0.01697715012</v>
      </c>
    </row>
    <row r="65">
      <c r="A65" s="17" t="s">
        <v>50</v>
      </c>
      <c r="B65" s="17" t="s">
        <v>171</v>
      </c>
      <c r="C65" s="30" t="s">
        <v>75</v>
      </c>
      <c r="D65" s="31">
        <v>0.0</v>
      </c>
      <c r="E65" s="31">
        <v>0.0</v>
      </c>
      <c r="F65" s="31">
        <v>0.0</v>
      </c>
      <c r="G65" s="31">
        <v>330.0</v>
      </c>
      <c r="H65" s="31">
        <v>550.0</v>
      </c>
      <c r="I65" s="31">
        <v>670.0</v>
      </c>
      <c r="J65" s="25">
        <f t="shared" si="1"/>
        <v>1550</v>
      </c>
      <c r="K65" s="27">
        <f t="shared" si="2"/>
        <v>0.001078466503</v>
      </c>
    </row>
    <row r="66">
      <c r="A66" s="17" t="s">
        <v>50</v>
      </c>
      <c r="B66" s="17" t="s">
        <v>171</v>
      </c>
      <c r="C66" s="17" t="s">
        <v>74</v>
      </c>
      <c r="D66" s="19">
        <v>1375.25</v>
      </c>
      <c r="E66" s="19">
        <f>D66-(0.008*D66)</f>
        <v>1364.248</v>
      </c>
      <c r="F66" s="19">
        <v>1341.8300399999998</v>
      </c>
      <c r="G66" s="19">
        <v>1330.8921589719998</v>
      </c>
      <c r="H66" s="19">
        <v>1313.045033472523</v>
      </c>
      <c r="I66" s="19">
        <v>1341.9650420938526</v>
      </c>
      <c r="J66" s="25">
        <f t="shared" si="1"/>
        <v>8067.230275</v>
      </c>
      <c r="K66" s="27">
        <f t="shared" si="2"/>
        <v>0.005613056532</v>
      </c>
    </row>
    <row r="67">
      <c r="A67" s="17" t="s">
        <v>50</v>
      </c>
      <c r="B67" s="17" t="s">
        <v>171</v>
      </c>
      <c r="C67" s="17" t="s">
        <v>71</v>
      </c>
      <c r="D67" s="19">
        <v>2780.0</v>
      </c>
      <c r="E67" s="19">
        <v>2806.0</v>
      </c>
      <c r="F67" s="19">
        <v>2604.51336</v>
      </c>
      <c r="G67" s="19">
        <v>2592.691600648</v>
      </c>
      <c r="H67" s="19">
        <v>2308.0</v>
      </c>
      <c r="I67" s="19">
        <v>2503.0</v>
      </c>
      <c r="J67" s="25">
        <f t="shared" si="1"/>
        <v>15594.20496</v>
      </c>
      <c r="K67" s="27">
        <f t="shared" si="2"/>
        <v>0.01085021142</v>
      </c>
    </row>
    <row r="68">
      <c r="A68" s="17" t="s">
        <v>50</v>
      </c>
      <c r="B68" s="17" t="s">
        <v>171</v>
      </c>
      <c r="C68" s="17" t="s">
        <v>61</v>
      </c>
      <c r="D68" s="19">
        <v>5000.0</v>
      </c>
      <c r="E68" s="20">
        <v>5400.0</v>
      </c>
      <c r="F68" s="19">
        <v>5200.0</v>
      </c>
      <c r="G68" s="19">
        <v>5200.0</v>
      </c>
      <c r="H68" s="19">
        <v>5120.0</v>
      </c>
      <c r="I68" s="19">
        <v>5301.0</v>
      </c>
      <c r="J68" s="25">
        <f t="shared" si="1"/>
        <v>31221</v>
      </c>
      <c r="K68" s="27">
        <f t="shared" si="2"/>
        <v>0.02172309851</v>
      </c>
    </row>
    <row r="69">
      <c r="A69" s="17" t="s">
        <v>50</v>
      </c>
      <c r="B69" s="17" t="s">
        <v>171</v>
      </c>
      <c r="C69" s="30" t="s">
        <v>67</v>
      </c>
      <c r="D69" s="31">
        <v>0.0</v>
      </c>
      <c r="E69" s="31">
        <v>0.0</v>
      </c>
      <c r="F69" s="31">
        <v>0.0</v>
      </c>
      <c r="G69" s="31">
        <v>350.0</v>
      </c>
      <c r="H69" s="31">
        <v>489.0</v>
      </c>
      <c r="I69" s="31">
        <v>642.0</v>
      </c>
      <c r="J69" s="25">
        <f t="shared" si="1"/>
        <v>1481</v>
      </c>
      <c r="K69" s="27">
        <f t="shared" si="2"/>
        <v>0.001030457349</v>
      </c>
    </row>
    <row r="70">
      <c r="A70" s="17" t="s">
        <v>50</v>
      </c>
      <c r="B70" s="17" t="s">
        <v>171</v>
      </c>
      <c r="C70" s="17" t="s">
        <v>72</v>
      </c>
      <c r="D70" s="19">
        <v>2393.0</v>
      </c>
      <c r="E70" s="19">
        <v>2209.0</v>
      </c>
      <c r="F70" s="19">
        <v>2336.29392</v>
      </c>
      <c r="G70" s="19">
        <v>2324.659914256</v>
      </c>
      <c r="H70" s="19">
        <v>2302.4402106332736</v>
      </c>
      <c r="I70" s="19">
        <v>2364.5049576894885</v>
      </c>
      <c r="J70" s="25">
        <f t="shared" si="1"/>
        <v>13929.899</v>
      </c>
      <c r="K70" s="27">
        <f t="shared" si="2"/>
        <v>0.00969221256</v>
      </c>
    </row>
    <row r="71">
      <c r="A71" s="17" t="s">
        <v>50</v>
      </c>
      <c r="B71" s="17" t="s">
        <v>171</v>
      </c>
      <c r="C71" s="17" t="s">
        <v>62</v>
      </c>
      <c r="D71" s="19">
        <v>4000.0</v>
      </c>
      <c r="E71" s="19">
        <v>4300.0</v>
      </c>
      <c r="F71" s="19">
        <v>3908.0</v>
      </c>
      <c r="G71" s="19">
        <v>3590.0</v>
      </c>
      <c r="H71" s="19">
        <v>3501.0</v>
      </c>
      <c r="I71" s="19">
        <v>3500.0</v>
      </c>
      <c r="J71" s="25">
        <f t="shared" si="1"/>
        <v>22799</v>
      </c>
      <c r="K71" s="27">
        <f t="shared" si="2"/>
        <v>0.01586319859</v>
      </c>
    </row>
    <row r="72">
      <c r="A72" s="17" t="s">
        <v>50</v>
      </c>
      <c r="B72" s="17" t="s">
        <v>171</v>
      </c>
      <c r="C72" s="17" t="s">
        <v>51</v>
      </c>
      <c r="D72" s="19">
        <v>3347.75</v>
      </c>
      <c r="E72" s="19">
        <v>3209.0</v>
      </c>
      <c r="F72" s="19">
        <v>3269.19924</v>
      </c>
      <c r="G72" s="19">
        <v>3120.0</v>
      </c>
      <c r="H72" s="19">
        <v>3201.0</v>
      </c>
      <c r="I72" s="19">
        <v>3323.748371509123</v>
      </c>
      <c r="J72" s="25">
        <f t="shared" si="1"/>
        <v>19470.69761</v>
      </c>
      <c r="K72" s="27">
        <f t="shared" si="2"/>
        <v>0.01354741624</v>
      </c>
    </row>
    <row r="73">
      <c r="A73" s="17" t="s">
        <v>76</v>
      </c>
      <c r="B73" s="17" t="s">
        <v>77</v>
      </c>
      <c r="C73" s="17" t="s">
        <v>79</v>
      </c>
      <c r="D73" s="19">
        <v>2500.0</v>
      </c>
      <c r="E73" s="19">
        <v>2360.0</v>
      </c>
      <c r="F73" s="19">
        <v>2300.0</v>
      </c>
      <c r="G73" s="19">
        <v>2200.0</v>
      </c>
      <c r="H73" s="19">
        <v>2109.0</v>
      </c>
      <c r="I73" s="19">
        <v>2301.0</v>
      </c>
      <c r="J73" s="25">
        <f t="shared" si="1"/>
        <v>13770</v>
      </c>
      <c r="K73" s="27">
        <f t="shared" si="2"/>
        <v>0.009580957258</v>
      </c>
    </row>
    <row r="74">
      <c r="A74" s="17" t="s">
        <v>76</v>
      </c>
      <c r="B74" s="17" t="s">
        <v>77</v>
      </c>
      <c r="C74" s="30" t="s">
        <v>172</v>
      </c>
      <c r="D74" s="31">
        <v>0.0</v>
      </c>
      <c r="E74" s="31">
        <v>0.0</v>
      </c>
      <c r="F74" s="31">
        <v>0.0</v>
      </c>
      <c r="G74" s="31">
        <v>0.0</v>
      </c>
      <c r="H74" s="31">
        <v>104.0</v>
      </c>
      <c r="I74" s="31">
        <v>256.0</v>
      </c>
      <c r="J74" s="25">
        <f t="shared" si="1"/>
        <v>360</v>
      </c>
      <c r="K74" s="27">
        <f t="shared" si="2"/>
        <v>0.0002504825427</v>
      </c>
    </row>
    <row r="75">
      <c r="A75" s="17" t="s">
        <v>76</v>
      </c>
      <c r="B75" s="17" t="s">
        <v>77</v>
      </c>
      <c r="C75" s="17" t="s">
        <v>84</v>
      </c>
      <c r="D75" s="19">
        <v>700.0</v>
      </c>
      <c r="E75" s="19">
        <f>D75-(0.008*D75)</f>
        <v>694.4</v>
      </c>
      <c r="F75" s="19">
        <v>750.0</v>
      </c>
      <c r="G75" s="19">
        <v>750.0</v>
      </c>
      <c r="H75" s="19">
        <v>780.0</v>
      </c>
      <c r="I75" s="19">
        <v>804.0</v>
      </c>
      <c r="J75" s="25">
        <f t="shared" si="1"/>
        <v>4478.4</v>
      </c>
      <c r="K75" s="27">
        <f t="shared" si="2"/>
        <v>0.003116002831</v>
      </c>
    </row>
    <row r="76">
      <c r="A76" s="17" t="s">
        <v>76</v>
      </c>
      <c r="B76" s="17" t="s">
        <v>77</v>
      </c>
      <c r="C76" s="30" t="s">
        <v>173</v>
      </c>
      <c r="D76" s="31">
        <v>0.0</v>
      </c>
      <c r="E76" s="31">
        <v>0.0</v>
      </c>
      <c r="F76" s="31">
        <v>0.0</v>
      </c>
      <c r="G76" s="31">
        <v>0.0</v>
      </c>
      <c r="H76" s="31">
        <v>0.0</v>
      </c>
      <c r="I76" s="31">
        <v>0.0</v>
      </c>
      <c r="J76" s="25">
        <f t="shared" si="1"/>
        <v>0</v>
      </c>
      <c r="K76" s="27">
        <f t="shared" si="2"/>
        <v>0</v>
      </c>
    </row>
    <row r="77">
      <c r="A77" s="17" t="s">
        <v>76</v>
      </c>
      <c r="B77" s="17" t="s">
        <v>77</v>
      </c>
      <c r="C77" s="17" t="s">
        <v>83</v>
      </c>
      <c r="D77" s="19">
        <v>780.0</v>
      </c>
      <c r="E77" s="19">
        <v>850.0</v>
      </c>
      <c r="F77" s="19">
        <v>980.0</v>
      </c>
      <c r="G77" s="19">
        <v>980.0</v>
      </c>
      <c r="H77" s="19">
        <v>980.0</v>
      </c>
      <c r="I77" s="19">
        <v>1000.0</v>
      </c>
      <c r="J77" s="25">
        <f t="shared" si="1"/>
        <v>5570</v>
      </c>
      <c r="K77" s="27">
        <f t="shared" si="2"/>
        <v>0.003875521563</v>
      </c>
    </row>
    <row r="78">
      <c r="A78" s="17" t="s">
        <v>76</v>
      </c>
      <c r="B78" s="17" t="s">
        <v>77</v>
      </c>
      <c r="C78" s="17" t="s">
        <v>86</v>
      </c>
      <c r="D78" s="19">
        <v>437.75</v>
      </c>
      <c r="E78" s="19">
        <v>500.0</v>
      </c>
      <c r="F78" s="19">
        <v>500.0</v>
      </c>
      <c r="G78" s="19">
        <v>600.0</v>
      </c>
      <c r="H78" s="19">
        <v>650.0</v>
      </c>
      <c r="I78" s="19">
        <v>670.0</v>
      </c>
      <c r="J78" s="25">
        <f t="shared" si="1"/>
        <v>3357.75</v>
      </c>
      <c r="K78" s="27">
        <f t="shared" si="2"/>
        <v>0.002336271549</v>
      </c>
    </row>
    <row r="79">
      <c r="A79" s="17" t="s">
        <v>76</v>
      </c>
      <c r="B79" s="17" t="s">
        <v>77</v>
      </c>
      <c r="C79" s="17" t="s">
        <v>78</v>
      </c>
      <c r="D79" s="19">
        <v>2775.5</v>
      </c>
      <c r="E79" s="20">
        <v>2670.0</v>
      </c>
      <c r="F79" s="19">
        <v>2710.04232</v>
      </c>
      <c r="G79" s="19">
        <v>2698.146690376</v>
      </c>
      <c r="H79" s="19">
        <v>2604.28364493835</v>
      </c>
      <c r="I79" s="19">
        <v>2676.4601470437847</v>
      </c>
      <c r="J79" s="25">
        <f t="shared" si="1"/>
        <v>16134.4328</v>
      </c>
      <c r="K79" s="27">
        <f t="shared" si="2"/>
        <v>0.01122609376</v>
      </c>
    </row>
    <row r="80">
      <c r="A80" s="17" t="s">
        <v>76</v>
      </c>
      <c r="B80" s="17" t="s">
        <v>77</v>
      </c>
      <c r="C80" s="17" t="s">
        <v>85</v>
      </c>
      <c r="D80" s="19">
        <v>590.0</v>
      </c>
      <c r="E80" s="19">
        <v>700.0</v>
      </c>
      <c r="F80" s="19">
        <v>680.0</v>
      </c>
      <c r="G80" s="19">
        <v>750.0</v>
      </c>
      <c r="H80" s="19">
        <v>750.0</v>
      </c>
      <c r="I80" s="19">
        <v>759.0</v>
      </c>
      <c r="J80" s="25">
        <f t="shared" si="1"/>
        <v>4229</v>
      </c>
      <c r="K80" s="27">
        <f t="shared" si="2"/>
        <v>0.002942474092</v>
      </c>
    </row>
    <row r="81">
      <c r="A81" s="17" t="s">
        <v>76</v>
      </c>
      <c r="B81" s="17" t="s">
        <v>77</v>
      </c>
      <c r="C81" s="30" t="s">
        <v>174</v>
      </c>
      <c r="D81" s="31">
        <v>0.0</v>
      </c>
      <c r="E81" s="31">
        <v>0.0</v>
      </c>
      <c r="F81" s="31">
        <v>0.0</v>
      </c>
      <c r="G81" s="31">
        <v>0.0</v>
      </c>
      <c r="H81" s="31">
        <v>0.0</v>
      </c>
      <c r="I81" s="31">
        <v>0.0</v>
      </c>
      <c r="J81" s="25">
        <f t="shared" si="1"/>
        <v>0</v>
      </c>
      <c r="K81" s="27">
        <f t="shared" si="2"/>
        <v>0</v>
      </c>
    </row>
    <row r="82">
      <c r="A82" s="17" t="s">
        <v>76</v>
      </c>
      <c r="B82" s="17" t="s">
        <v>77</v>
      </c>
      <c r="C82" s="35" t="s">
        <v>81</v>
      </c>
      <c r="D82" s="19">
        <v>1890.0</v>
      </c>
      <c r="E82" s="19">
        <v>1890.0</v>
      </c>
      <c r="F82" s="19">
        <v>1890.0</v>
      </c>
      <c r="G82" s="19">
        <v>1800.0</v>
      </c>
      <c r="H82" s="19">
        <v>1850.0</v>
      </c>
      <c r="I82" s="19">
        <v>1900.0</v>
      </c>
      <c r="J82" s="25">
        <f t="shared" si="1"/>
        <v>11220</v>
      </c>
      <c r="K82" s="27">
        <f t="shared" si="2"/>
        <v>0.007806705914</v>
      </c>
    </row>
    <row r="83">
      <c r="A83" s="17" t="s">
        <v>76</v>
      </c>
      <c r="B83" s="17" t="s">
        <v>77</v>
      </c>
      <c r="C83" s="30" t="s">
        <v>89</v>
      </c>
      <c r="D83" s="31">
        <v>0.0</v>
      </c>
      <c r="E83" s="31">
        <v>0.0</v>
      </c>
      <c r="F83" s="31">
        <v>0.0</v>
      </c>
      <c r="G83" s="31">
        <v>101.0</v>
      </c>
      <c r="H83" s="31">
        <v>317.0</v>
      </c>
      <c r="I83" s="31">
        <v>456.0</v>
      </c>
      <c r="J83" s="25">
        <f t="shared" si="1"/>
        <v>874</v>
      </c>
      <c r="K83" s="27">
        <f t="shared" si="2"/>
        <v>0.0006081159509</v>
      </c>
    </row>
    <row r="84">
      <c r="A84" s="17" t="s">
        <v>76</v>
      </c>
      <c r="B84" s="17" t="s">
        <v>77</v>
      </c>
      <c r="C84" s="17" t="s">
        <v>87</v>
      </c>
      <c r="D84" s="19">
        <v>400.0</v>
      </c>
      <c r="E84" s="20">
        <v>450.0</v>
      </c>
      <c r="F84" s="19">
        <v>500.0</v>
      </c>
      <c r="G84" s="19">
        <v>450.0</v>
      </c>
      <c r="H84" s="19">
        <v>550.0</v>
      </c>
      <c r="I84" s="19">
        <v>650.0</v>
      </c>
      <c r="J84" s="25">
        <f t="shared" si="1"/>
        <v>3000</v>
      </c>
      <c r="K84" s="27">
        <f t="shared" si="2"/>
        <v>0.002087354522</v>
      </c>
    </row>
    <row r="85">
      <c r="A85" s="17" t="s">
        <v>76</v>
      </c>
      <c r="B85" s="17" t="s">
        <v>77</v>
      </c>
      <c r="C85" s="17" t="s">
        <v>82</v>
      </c>
      <c r="D85" s="19">
        <v>1000.0</v>
      </c>
      <c r="E85" s="19">
        <v>960.0</v>
      </c>
      <c r="F85" s="19">
        <v>960.0</v>
      </c>
      <c r="G85" s="19">
        <v>980.0</v>
      </c>
      <c r="H85" s="19">
        <v>1020.0</v>
      </c>
      <c r="I85" s="19">
        <v>1150.0</v>
      </c>
      <c r="J85" s="25">
        <f t="shared" si="1"/>
        <v>6070</v>
      </c>
      <c r="K85" s="27">
        <f t="shared" si="2"/>
        <v>0.004223413984</v>
      </c>
    </row>
    <row r="86">
      <c r="A86" s="17" t="s">
        <v>76</v>
      </c>
      <c r="B86" s="17" t="s">
        <v>77</v>
      </c>
      <c r="C86" s="30" t="s">
        <v>175</v>
      </c>
      <c r="D86" s="31">
        <v>0.0</v>
      </c>
      <c r="E86" s="31">
        <v>0.0</v>
      </c>
      <c r="F86" s="31">
        <v>0.0</v>
      </c>
      <c r="G86" s="31">
        <v>0.0</v>
      </c>
      <c r="H86" s="31">
        <v>0.0</v>
      </c>
      <c r="I86" s="31">
        <v>142.0</v>
      </c>
      <c r="J86" s="25">
        <f t="shared" si="1"/>
        <v>142</v>
      </c>
      <c r="K86" s="27">
        <f t="shared" si="2"/>
        <v>0.00009880144739</v>
      </c>
    </row>
    <row r="87">
      <c r="A87" s="17" t="s">
        <v>76</v>
      </c>
      <c r="B87" s="17" t="s">
        <v>77</v>
      </c>
      <c r="C87" s="17" t="s">
        <v>88</v>
      </c>
      <c r="D87" s="19">
        <v>88.25</v>
      </c>
      <c r="E87" s="20">
        <v>150.0</v>
      </c>
      <c r="F87" s="19">
        <v>200.0</v>
      </c>
      <c r="G87" s="19">
        <v>230.0</v>
      </c>
      <c r="H87" s="19">
        <v>250.0</v>
      </c>
      <c r="I87" s="19">
        <v>290.0</v>
      </c>
      <c r="J87" s="25">
        <f t="shared" si="1"/>
        <v>1208.25</v>
      </c>
      <c r="K87" s="27">
        <f t="shared" si="2"/>
        <v>0.0008406820339</v>
      </c>
    </row>
    <row r="88">
      <c r="A88" s="17" t="s">
        <v>76</v>
      </c>
      <c r="B88" s="17" t="s">
        <v>90</v>
      </c>
      <c r="C88" s="17" t="s">
        <v>91</v>
      </c>
      <c r="D88" s="19">
        <v>1344.0</v>
      </c>
      <c r="E88" s="19">
        <f t="shared" ref="E88:E89" si="10">D88-(0.008*D88)</f>
        <v>1333.248</v>
      </c>
      <c r="F88" s="19">
        <v>1400.0</v>
      </c>
      <c r="G88" s="19">
        <v>1400.0</v>
      </c>
      <c r="H88" s="19">
        <v>1450.0</v>
      </c>
      <c r="I88" s="19">
        <v>1400.0</v>
      </c>
      <c r="J88" s="25">
        <f t="shared" si="1"/>
        <v>8327.248</v>
      </c>
      <c r="K88" s="27">
        <f t="shared" si="2"/>
        <v>0.005793972924</v>
      </c>
    </row>
    <row r="89">
      <c r="A89" s="17" t="s">
        <v>76</v>
      </c>
      <c r="B89" s="17" t="s">
        <v>90</v>
      </c>
      <c r="C89" s="17" t="s">
        <v>95</v>
      </c>
      <c r="D89" s="19">
        <v>700.0</v>
      </c>
      <c r="E89" s="19">
        <f t="shared" si="10"/>
        <v>694.4</v>
      </c>
      <c r="F89" s="19">
        <v>690.0</v>
      </c>
      <c r="G89" s="19">
        <v>690.0</v>
      </c>
      <c r="H89" s="19">
        <v>790.0</v>
      </c>
      <c r="I89" s="19">
        <v>810.0</v>
      </c>
      <c r="J89" s="25">
        <f t="shared" si="1"/>
        <v>4374.4</v>
      </c>
      <c r="K89" s="27">
        <f t="shared" si="2"/>
        <v>0.003043641208</v>
      </c>
    </row>
    <row r="90">
      <c r="A90" s="17" t="s">
        <v>76</v>
      </c>
      <c r="B90" s="17" t="s">
        <v>90</v>
      </c>
      <c r="C90" s="30" t="s">
        <v>176</v>
      </c>
      <c r="D90" s="31">
        <v>0.0</v>
      </c>
      <c r="E90" s="31">
        <v>0.0</v>
      </c>
      <c r="F90" s="31">
        <v>0.0</v>
      </c>
      <c r="G90" s="31">
        <v>0.0</v>
      </c>
      <c r="H90" s="31">
        <v>0.0</v>
      </c>
      <c r="I90" s="31">
        <v>0.0</v>
      </c>
      <c r="J90" s="25">
        <f t="shared" si="1"/>
        <v>0</v>
      </c>
      <c r="K90" s="27">
        <f t="shared" si="2"/>
        <v>0</v>
      </c>
    </row>
    <row r="91">
      <c r="A91" s="17" t="s">
        <v>76</v>
      </c>
      <c r="B91" s="17" t="s">
        <v>90</v>
      </c>
      <c r="C91" s="17" t="s">
        <v>98</v>
      </c>
      <c r="D91" s="19">
        <v>1149.5</v>
      </c>
      <c r="E91" s="19">
        <v>1100.0</v>
      </c>
      <c r="F91" s="19">
        <v>1121.2451999999998</v>
      </c>
      <c r="G91" s="19">
        <v>1110.4617283599998</v>
      </c>
      <c r="H91" s="19">
        <v>1100.0</v>
      </c>
      <c r="I91" s="19">
        <v>1281.0</v>
      </c>
      <c r="J91" s="25">
        <f t="shared" si="1"/>
        <v>6862.206928</v>
      </c>
      <c r="K91" s="27">
        <f t="shared" si="2"/>
        <v>0.004774619555</v>
      </c>
    </row>
    <row r="92">
      <c r="A92" s="17" t="s">
        <v>76</v>
      </c>
      <c r="B92" s="17" t="s">
        <v>90</v>
      </c>
      <c r="C92" s="36" t="s">
        <v>101</v>
      </c>
      <c r="D92" s="31">
        <v>0.0</v>
      </c>
      <c r="E92" s="31">
        <v>0.0</v>
      </c>
      <c r="F92" s="31">
        <v>0.0</v>
      </c>
      <c r="G92" s="31">
        <v>0.0</v>
      </c>
      <c r="H92" s="31">
        <v>0.0</v>
      </c>
      <c r="I92" s="31">
        <v>0.0</v>
      </c>
      <c r="J92" s="25">
        <f t="shared" si="1"/>
        <v>0</v>
      </c>
      <c r="K92" s="27">
        <f t="shared" si="2"/>
        <v>0</v>
      </c>
    </row>
    <row r="93">
      <c r="A93" s="17" t="s">
        <v>76</v>
      </c>
      <c r="B93" s="17" t="s">
        <v>90</v>
      </c>
      <c r="C93" s="30" t="s">
        <v>177</v>
      </c>
      <c r="D93" s="31">
        <v>0.0</v>
      </c>
      <c r="E93" s="31">
        <v>0.0</v>
      </c>
      <c r="F93" s="31">
        <v>0.0</v>
      </c>
      <c r="G93" s="31">
        <v>0.0</v>
      </c>
      <c r="H93" s="31">
        <v>0.0</v>
      </c>
      <c r="I93" s="31">
        <v>0.0</v>
      </c>
      <c r="J93" s="25">
        <f t="shared" si="1"/>
        <v>0</v>
      </c>
      <c r="K93" s="27">
        <f t="shared" si="2"/>
        <v>0</v>
      </c>
    </row>
    <row r="94">
      <c r="A94" s="17" t="s">
        <v>76</v>
      </c>
      <c r="B94" s="17" t="s">
        <v>90</v>
      </c>
      <c r="C94" s="17" t="s">
        <v>97</v>
      </c>
      <c r="D94" s="19">
        <v>700.0</v>
      </c>
      <c r="E94" s="19">
        <f t="shared" ref="E94:E96" si="11">D94-(0.008*D94)</f>
        <v>694.4</v>
      </c>
      <c r="F94" s="19">
        <v>700.0</v>
      </c>
      <c r="G94" s="19">
        <v>700.0</v>
      </c>
      <c r="H94" s="19">
        <v>752.0</v>
      </c>
      <c r="I94" s="19">
        <v>800.0</v>
      </c>
      <c r="J94" s="25">
        <f t="shared" si="1"/>
        <v>4346.4</v>
      </c>
      <c r="K94" s="27">
        <f t="shared" si="2"/>
        <v>0.003024159232</v>
      </c>
    </row>
    <row r="95">
      <c r="A95" s="17" t="s">
        <v>76</v>
      </c>
      <c r="B95" s="17" t="s">
        <v>90</v>
      </c>
      <c r="C95" s="17" t="s">
        <v>100</v>
      </c>
      <c r="D95" s="19">
        <v>300.0</v>
      </c>
      <c r="E95" s="19">
        <f t="shared" si="11"/>
        <v>297.6</v>
      </c>
      <c r="F95" s="19">
        <v>299.0</v>
      </c>
      <c r="G95" s="19">
        <v>300.0</v>
      </c>
      <c r="H95" s="19">
        <v>380.0</v>
      </c>
      <c r="I95" s="19">
        <v>400.0</v>
      </c>
      <c r="J95" s="25">
        <f t="shared" si="1"/>
        <v>1976.6</v>
      </c>
      <c r="K95" s="27">
        <f t="shared" si="2"/>
        <v>0.001375288316</v>
      </c>
    </row>
    <row r="96">
      <c r="A96" s="17" t="s">
        <v>76</v>
      </c>
      <c r="B96" s="17" t="s">
        <v>90</v>
      </c>
      <c r="C96" s="17" t="s">
        <v>96</v>
      </c>
      <c r="D96" s="19">
        <v>950.0</v>
      </c>
      <c r="E96" s="19">
        <f t="shared" si="11"/>
        <v>942.4</v>
      </c>
      <c r="F96" s="19">
        <v>900.0</v>
      </c>
      <c r="G96" s="19">
        <v>880.0</v>
      </c>
      <c r="H96" s="19">
        <v>1000.0</v>
      </c>
      <c r="I96" s="19">
        <v>1123.0</v>
      </c>
      <c r="J96" s="25">
        <f t="shared" si="1"/>
        <v>5795.4</v>
      </c>
      <c r="K96" s="27">
        <f t="shared" si="2"/>
        <v>0.004032351466</v>
      </c>
    </row>
    <row r="97">
      <c r="A97" s="17" t="s">
        <v>76</v>
      </c>
      <c r="B97" s="17" t="s">
        <v>90</v>
      </c>
      <c r="C97" s="30" t="s">
        <v>178</v>
      </c>
      <c r="D97" s="31">
        <v>0.0</v>
      </c>
      <c r="E97" s="31">
        <v>0.0</v>
      </c>
      <c r="F97" s="31">
        <v>0.0</v>
      </c>
      <c r="G97" s="31">
        <v>0.0</v>
      </c>
      <c r="H97" s="31">
        <v>0.0</v>
      </c>
      <c r="I97" s="31">
        <v>0.0</v>
      </c>
      <c r="J97" s="25">
        <f t="shared" si="1"/>
        <v>0</v>
      </c>
      <c r="K97" s="27">
        <f t="shared" si="2"/>
        <v>0</v>
      </c>
    </row>
    <row r="98">
      <c r="A98" s="17" t="s">
        <v>76</v>
      </c>
      <c r="B98" s="17" t="s">
        <v>90</v>
      </c>
      <c r="C98" s="17" t="s">
        <v>94</v>
      </c>
      <c r="D98" s="19">
        <v>950.0</v>
      </c>
      <c r="E98" s="19">
        <f t="shared" ref="E98:E100" si="12">D98-(0.008*D98)</f>
        <v>942.4</v>
      </c>
      <c r="F98" s="19">
        <v>894.0648</v>
      </c>
      <c r="G98" s="19">
        <v>883.44035464</v>
      </c>
      <c r="H98" s="19">
        <v>867.562017079584</v>
      </c>
      <c r="I98" s="19">
        <v>869.0</v>
      </c>
      <c r="J98" s="25">
        <f t="shared" si="1"/>
        <v>5406.467172</v>
      </c>
      <c r="K98" s="27">
        <f t="shared" si="2"/>
        <v>0.0037617379</v>
      </c>
    </row>
    <row r="99">
      <c r="A99" s="17" t="s">
        <v>76</v>
      </c>
      <c r="B99" s="17" t="s">
        <v>90</v>
      </c>
      <c r="C99" s="17" t="s">
        <v>99</v>
      </c>
      <c r="D99" s="19">
        <v>736.25</v>
      </c>
      <c r="E99" s="19">
        <f t="shared" si="12"/>
        <v>730.36</v>
      </c>
      <c r="F99" s="19">
        <v>717.4503599999999</v>
      </c>
      <c r="G99" s="19">
        <v>706.9495447479999</v>
      </c>
      <c r="H99" s="19">
        <v>691.8477667511087</v>
      </c>
      <c r="I99" s="19">
        <v>717.0</v>
      </c>
      <c r="J99" s="25">
        <f t="shared" si="1"/>
        <v>4299.857671</v>
      </c>
      <c r="K99" s="27">
        <f t="shared" si="2"/>
        <v>0.002991775785</v>
      </c>
    </row>
    <row r="100">
      <c r="A100" s="17" t="s">
        <v>76</v>
      </c>
      <c r="B100" s="17" t="s">
        <v>90</v>
      </c>
      <c r="C100" s="17" t="s">
        <v>93</v>
      </c>
      <c r="D100" s="19">
        <v>1039.25</v>
      </c>
      <c r="E100" s="19">
        <f t="shared" si="12"/>
        <v>1030.936</v>
      </c>
      <c r="F100" s="19">
        <v>1013.51772</v>
      </c>
      <c r="G100" s="19">
        <v>1002.8096575960001</v>
      </c>
      <c r="H100" s="19">
        <v>986.4060951025776</v>
      </c>
      <c r="I100" s="19">
        <v>1004.383699288514</v>
      </c>
      <c r="J100" s="25">
        <f t="shared" si="1"/>
        <v>6077.303172</v>
      </c>
      <c r="K100" s="27">
        <f t="shared" si="2"/>
        <v>0.00422849542</v>
      </c>
    </row>
    <row r="101">
      <c r="A101" s="17" t="s">
        <v>102</v>
      </c>
      <c r="B101" s="17" t="s">
        <v>103</v>
      </c>
      <c r="C101" s="17" t="s">
        <v>104</v>
      </c>
      <c r="D101" s="19">
        <v>1468.25</v>
      </c>
      <c r="E101" s="39">
        <v>1399.0</v>
      </c>
      <c r="F101" s="19">
        <v>1432.7022</v>
      </c>
      <c r="G101" s="19">
        <v>1421.70070846</v>
      </c>
      <c r="H101" s="19">
        <v>1403.454025342776</v>
      </c>
      <c r="I101" s="19">
        <v>1435.4027351917591</v>
      </c>
      <c r="J101" s="25">
        <f t="shared" si="1"/>
        <v>8560.509669</v>
      </c>
      <c r="K101" s="27">
        <f t="shared" si="2"/>
        <v>0.005956272857</v>
      </c>
    </row>
    <row r="102">
      <c r="A102" s="17" t="s">
        <v>102</v>
      </c>
      <c r="B102" s="17" t="s">
        <v>103</v>
      </c>
      <c r="C102" s="30" t="s">
        <v>179</v>
      </c>
      <c r="D102" s="31">
        <v>0.0</v>
      </c>
      <c r="E102" s="31">
        <v>0.0</v>
      </c>
      <c r="F102" s="31">
        <v>0.0</v>
      </c>
      <c r="G102" s="31">
        <v>0.0</v>
      </c>
      <c r="H102" s="31">
        <v>0.0</v>
      </c>
      <c r="I102" s="31">
        <v>0.0</v>
      </c>
      <c r="J102" s="25">
        <f t="shared" si="1"/>
        <v>0</v>
      </c>
      <c r="K102" s="27">
        <f t="shared" si="2"/>
        <v>0</v>
      </c>
    </row>
    <row r="103">
      <c r="A103" s="17" t="s">
        <v>102</v>
      </c>
      <c r="B103" s="17" t="s">
        <v>103</v>
      </c>
      <c r="C103" s="17" t="s">
        <v>108</v>
      </c>
      <c r="D103" s="19">
        <v>1108.25</v>
      </c>
      <c r="E103" s="19">
        <v>1000.0</v>
      </c>
      <c r="F103" s="19">
        <v>1080.939</v>
      </c>
      <c r="G103" s="19">
        <v>1100.0</v>
      </c>
      <c r="H103" s="19">
        <v>1100.0</v>
      </c>
      <c r="I103" s="19">
        <v>1109.0</v>
      </c>
      <c r="J103" s="25">
        <f t="shared" si="1"/>
        <v>6498.189</v>
      </c>
      <c r="K103" s="27">
        <f t="shared" si="2"/>
        <v>0.004521341399</v>
      </c>
    </row>
    <row r="104">
      <c r="A104" s="17" t="s">
        <v>102</v>
      </c>
      <c r="B104" s="17" t="s">
        <v>103</v>
      </c>
      <c r="C104" s="30" t="s">
        <v>180</v>
      </c>
      <c r="D104" s="31">
        <v>0.0</v>
      </c>
      <c r="E104" s="31">
        <v>0.0</v>
      </c>
      <c r="F104" s="31">
        <v>0.0</v>
      </c>
      <c r="G104" s="31">
        <v>0.0</v>
      </c>
      <c r="H104" s="31">
        <v>0.0</v>
      </c>
      <c r="I104" s="31">
        <v>0.0</v>
      </c>
      <c r="J104" s="25">
        <f t="shared" si="1"/>
        <v>0</v>
      </c>
      <c r="K104" s="27">
        <f t="shared" si="2"/>
        <v>0</v>
      </c>
    </row>
    <row r="105">
      <c r="A105" s="17" t="s">
        <v>102</v>
      </c>
      <c r="B105" s="17" t="s">
        <v>103</v>
      </c>
      <c r="C105" s="17" t="s">
        <v>106</v>
      </c>
      <c r="D105" s="19">
        <v>1319.75</v>
      </c>
      <c r="E105" s="19">
        <f>D105-(0.008*D105)</f>
        <v>1309.192</v>
      </c>
      <c r="F105" s="19">
        <v>1287.59988</v>
      </c>
      <c r="G105" s="19">
        <v>1276.699960084</v>
      </c>
      <c r="H105" s="19">
        <v>1259.0912802596304</v>
      </c>
      <c r="I105" s="19">
        <v>1286.203838148328</v>
      </c>
      <c r="J105" s="25">
        <f t="shared" si="1"/>
        <v>7738.536958</v>
      </c>
      <c r="K105" s="27">
        <f t="shared" si="2"/>
        <v>0.005384356706</v>
      </c>
    </row>
    <row r="106">
      <c r="A106" s="17" t="s">
        <v>102</v>
      </c>
      <c r="B106" s="17" t="s">
        <v>103</v>
      </c>
      <c r="C106" s="30" t="s">
        <v>181</v>
      </c>
      <c r="D106" s="31">
        <v>0.0</v>
      </c>
      <c r="E106" s="31">
        <v>0.0</v>
      </c>
      <c r="F106" s="31">
        <v>0.0</v>
      </c>
      <c r="G106" s="31">
        <v>0.0</v>
      </c>
      <c r="H106" s="31">
        <v>0.0</v>
      </c>
      <c r="I106" s="34">
        <v>101.0</v>
      </c>
      <c r="J106" s="25">
        <f t="shared" si="1"/>
        <v>101</v>
      </c>
      <c r="K106" s="27">
        <f t="shared" si="2"/>
        <v>0.00007027426892</v>
      </c>
    </row>
    <row r="107">
      <c r="A107" s="17" t="s">
        <v>102</v>
      </c>
      <c r="B107" s="17" t="s">
        <v>103</v>
      </c>
      <c r="C107" s="30" t="s">
        <v>182</v>
      </c>
      <c r="D107" s="31">
        <v>0.0</v>
      </c>
      <c r="E107" s="31">
        <v>0.0</v>
      </c>
      <c r="F107" s="31">
        <v>0.0</v>
      </c>
      <c r="G107" s="31">
        <v>0.0</v>
      </c>
      <c r="H107" s="31">
        <v>0.0</v>
      </c>
      <c r="I107" s="31">
        <v>0.0</v>
      </c>
      <c r="J107" s="25">
        <f t="shared" si="1"/>
        <v>0</v>
      </c>
      <c r="K107" s="27">
        <f t="shared" si="2"/>
        <v>0</v>
      </c>
    </row>
    <row r="108">
      <c r="A108" s="17" t="s">
        <v>102</v>
      </c>
      <c r="B108" s="17" t="s">
        <v>103</v>
      </c>
      <c r="C108" s="17" t="s">
        <v>107</v>
      </c>
      <c r="D108" s="19">
        <v>1133.75</v>
      </c>
      <c r="E108" s="19">
        <f>D108-(0.008*D108)</f>
        <v>1124.68</v>
      </c>
      <c r="F108" s="19">
        <v>1105.85556</v>
      </c>
      <c r="G108" s="19">
        <v>1095.0828611079999</v>
      </c>
      <c r="H108" s="19">
        <v>1000.0</v>
      </c>
      <c r="I108" s="19">
        <v>1099.3284519525153</v>
      </c>
      <c r="J108" s="25">
        <f t="shared" si="1"/>
        <v>6558.696873</v>
      </c>
      <c r="K108" s="27">
        <f t="shared" si="2"/>
        <v>0.00456344186</v>
      </c>
    </row>
    <row r="109">
      <c r="A109" s="17" t="s">
        <v>102</v>
      </c>
      <c r="B109" s="17" t="s">
        <v>103</v>
      </c>
      <c r="C109" s="30" t="s">
        <v>183</v>
      </c>
      <c r="D109" s="31">
        <v>0.0</v>
      </c>
      <c r="E109" s="31">
        <v>0.0</v>
      </c>
      <c r="F109" s="31">
        <v>0.0</v>
      </c>
      <c r="G109" s="31">
        <v>0.0</v>
      </c>
      <c r="H109" s="31">
        <v>0.0</v>
      </c>
      <c r="I109" s="31">
        <v>0.0</v>
      </c>
      <c r="J109" s="25">
        <f t="shared" si="1"/>
        <v>0</v>
      </c>
      <c r="K109" s="27">
        <f t="shared" si="2"/>
        <v>0</v>
      </c>
    </row>
    <row r="110">
      <c r="A110" s="17" t="s">
        <v>102</v>
      </c>
      <c r="B110" s="17" t="s">
        <v>103</v>
      </c>
      <c r="C110" s="17" t="s">
        <v>111</v>
      </c>
      <c r="D110" s="19">
        <v>791.0</v>
      </c>
      <c r="E110" s="19">
        <f>D110-(0.008*D110)</f>
        <v>784.672</v>
      </c>
      <c r="F110" s="19">
        <v>770.94768</v>
      </c>
      <c r="G110" s="19">
        <v>760.409416624</v>
      </c>
      <c r="H110" s="19">
        <v>745.0724151908544</v>
      </c>
      <c r="I110" s="19">
        <v>754.965341099748</v>
      </c>
      <c r="J110" s="25">
        <f t="shared" si="1"/>
        <v>4607.066853</v>
      </c>
      <c r="K110" s="27">
        <f t="shared" si="2"/>
        <v>0.003205527277</v>
      </c>
    </row>
    <row r="111">
      <c r="A111" s="17" t="s">
        <v>102</v>
      </c>
      <c r="B111" s="17" t="s">
        <v>103</v>
      </c>
      <c r="C111" s="30" t="s">
        <v>114</v>
      </c>
      <c r="D111" s="31">
        <v>0.0</v>
      </c>
      <c r="E111" s="31">
        <v>0.0</v>
      </c>
      <c r="F111" s="31">
        <v>0.0</v>
      </c>
      <c r="G111" s="31">
        <v>121.0</v>
      </c>
      <c r="H111" s="31">
        <v>200.0</v>
      </c>
      <c r="I111" s="34">
        <v>345.0</v>
      </c>
      <c r="J111" s="25">
        <f t="shared" si="1"/>
        <v>666</v>
      </c>
      <c r="K111" s="27">
        <f t="shared" si="2"/>
        <v>0.000463392704</v>
      </c>
    </row>
    <row r="112">
      <c r="A112" s="17" t="s">
        <v>102</v>
      </c>
      <c r="B112" s="17" t="s">
        <v>103</v>
      </c>
      <c r="C112" s="17" t="s">
        <v>109</v>
      </c>
      <c r="D112" s="19">
        <v>851.0</v>
      </c>
      <c r="E112" s="19">
        <f>D112-(0.008*D112)</f>
        <v>844.192</v>
      </c>
      <c r="F112" s="19">
        <v>829.57488</v>
      </c>
      <c r="G112" s="19">
        <v>818.995577584</v>
      </c>
      <c r="H112" s="19">
        <v>803.4007970426304</v>
      </c>
      <c r="I112" s="19">
        <v>815.2477237435585</v>
      </c>
      <c r="J112" s="25">
        <f t="shared" si="1"/>
        <v>4962.410978</v>
      </c>
      <c r="K112" s="27">
        <f t="shared" si="2"/>
        <v>0.003452770333</v>
      </c>
    </row>
    <row r="113">
      <c r="A113" s="17" t="s">
        <v>102</v>
      </c>
      <c r="B113" s="17" t="s">
        <v>103</v>
      </c>
      <c r="C113" s="30" t="s">
        <v>184</v>
      </c>
      <c r="D113" s="31">
        <v>0.0</v>
      </c>
      <c r="E113" s="31">
        <v>0.0</v>
      </c>
      <c r="F113" s="31">
        <v>0.0</v>
      </c>
      <c r="G113" s="31">
        <v>0.0</v>
      </c>
      <c r="H113" s="31">
        <v>0.0</v>
      </c>
      <c r="I113" s="31">
        <v>0.0</v>
      </c>
      <c r="J113" s="25">
        <f t="shared" si="1"/>
        <v>0</v>
      </c>
      <c r="K113" s="27">
        <f t="shared" si="2"/>
        <v>0</v>
      </c>
    </row>
    <row r="114">
      <c r="A114" s="17" t="s">
        <v>102</v>
      </c>
      <c r="B114" s="17" t="s">
        <v>103</v>
      </c>
      <c r="C114" s="17" t="s">
        <v>110</v>
      </c>
      <c r="D114" s="19">
        <v>823.25</v>
      </c>
      <c r="E114" s="19">
        <v>890.0</v>
      </c>
      <c r="F114" s="19">
        <v>802.4598</v>
      </c>
      <c r="G114" s="19">
        <v>791.8994781399999</v>
      </c>
      <c r="H114" s="19">
        <v>776.423920436184</v>
      </c>
      <c r="I114" s="19">
        <v>800.0</v>
      </c>
      <c r="J114" s="25">
        <f t="shared" si="1"/>
        <v>4884.033199</v>
      </c>
      <c r="K114" s="27">
        <f t="shared" si="2"/>
        <v>0.003398236262</v>
      </c>
    </row>
    <row r="115">
      <c r="A115" s="17" t="s">
        <v>102</v>
      </c>
      <c r="B115" s="17" t="s">
        <v>103</v>
      </c>
      <c r="C115" s="30" t="s">
        <v>185</v>
      </c>
      <c r="D115" s="31">
        <v>0.0</v>
      </c>
      <c r="E115" s="31">
        <v>0.0</v>
      </c>
      <c r="F115" s="31">
        <v>0.0</v>
      </c>
      <c r="G115" s="31">
        <v>0.0</v>
      </c>
      <c r="H115" s="31">
        <v>0.0</v>
      </c>
      <c r="I115" s="31">
        <v>0.0</v>
      </c>
      <c r="J115" s="25">
        <f t="shared" si="1"/>
        <v>0</v>
      </c>
      <c r="K115" s="27">
        <f t="shared" si="2"/>
        <v>0</v>
      </c>
    </row>
    <row r="116">
      <c r="A116" s="17" t="s">
        <v>102</v>
      </c>
      <c r="B116" s="17" t="s">
        <v>103</v>
      </c>
      <c r="C116" s="17" t="s">
        <v>113</v>
      </c>
      <c r="D116" s="19">
        <v>317.75</v>
      </c>
      <c r="E116" s="19">
        <f t="shared" ref="E116:E118" si="13">D116-(0.008*D116)</f>
        <v>315.208</v>
      </c>
      <c r="F116" s="19">
        <v>308.52564</v>
      </c>
      <c r="G116" s="19">
        <v>300.0</v>
      </c>
      <c r="H116" s="19">
        <v>290.0</v>
      </c>
      <c r="I116" s="19">
        <v>300.0</v>
      </c>
      <c r="J116" s="25">
        <f t="shared" si="1"/>
        <v>1831.48364</v>
      </c>
      <c r="K116" s="27">
        <f t="shared" si="2"/>
        <v>0.001274318553</v>
      </c>
    </row>
    <row r="117">
      <c r="A117" s="17" t="s">
        <v>102</v>
      </c>
      <c r="B117" s="17" t="s">
        <v>103</v>
      </c>
      <c r="C117" s="17" t="s">
        <v>112</v>
      </c>
      <c r="D117" s="19">
        <v>506.0</v>
      </c>
      <c r="E117" s="19">
        <f t="shared" si="13"/>
        <v>501.952</v>
      </c>
      <c r="F117" s="19">
        <v>492.46848</v>
      </c>
      <c r="G117" s="19">
        <v>482.125152064</v>
      </c>
      <c r="H117" s="19">
        <v>500.0</v>
      </c>
      <c r="I117" s="19">
        <v>509.0</v>
      </c>
      <c r="J117" s="25">
        <f t="shared" si="1"/>
        <v>2991.545632</v>
      </c>
      <c r="K117" s="27">
        <f t="shared" si="2"/>
        <v>0.002081472101</v>
      </c>
    </row>
    <row r="118">
      <c r="A118" s="17" t="s">
        <v>102</v>
      </c>
      <c r="B118" s="17" t="s">
        <v>103</v>
      </c>
      <c r="C118" s="17" t="s">
        <v>105</v>
      </c>
      <c r="D118" s="19">
        <v>1693.25</v>
      </c>
      <c r="E118" s="19">
        <f t="shared" si="13"/>
        <v>1679.704</v>
      </c>
      <c r="F118" s="19">
        <v>1652.5542</v>
      </c>
      <c r="G118" s="19">
        <v>1641.39881206</v>
      </c>
      <c r="H118" s="19">
        <v>1622.1854572869358</v>
      </c>
      <c r="I118" s="19">
        <v>1661.4616701060481</v>
      </c>
      <c r="J118" s="25">
        <f t="shared" si="1"/>
        <v>9950.554139</v>
      </c>
      <c r="K118" s="27">
        <f t="shared" si="2"/>
        <v>0.006923444728</v>
      </c>
    </row>
    <row r="119">
      <c r="A119" s="17" t="s">
        <v>102</v>
      </c>
      <c r="B119" s="17" t="s">
        <v>115</v>
      </c>
      <c r="C119" s="17" t="s">
        <v>119</v>
      </c>
      <c r="D119" s="19">
        <v>1520.75</v>
      </c>
      <c r="E119" s="19">
        <v>1500.0</v>
      </c>
      <c r="F119" s="19">
        <v>1484.001</v>
      </c>
      <c r="G119" s="19">
        <v>1472.9635993</v>
      </c>
      <c r="H119" s="19">
        <v>1454.49135946308</v>
      </c>
      <c r="I119" s="19">
        <v>1488.1498200050933</v>
      </c>
      <c r="J119" s="25">
        <f t="shared" si="1"/>
        <v>8920.355779</v>
      </c>
      <c r="K119" s="27">
        <f t="shared" si="2"/>
        <v>0.006206648325</v>
      </c>
    </row>
    <row r="120">
      <c r="A120" s="17" t="s">
        <v>102</v>
      </c>
      <c r="B120" s="17" t="s">
        <v>115</v>
      </c>
      <c r="C120" s="17" t="s">
        <v>123</v>
      </c>
      <c r="D120" s="19">
        <v>318.5</v>
      </c>
      <c r="E120" s="19">
        <f t="shared" ref="E120:E121" si="14">D120-(0.008*D120)</f>
        <v>315.952</v>
      </c>
      <c r="F120" s="19">
        <v>303.0</v>
      </c>
      <c r="G120" s="19">
        <v>299.043399064</v>
      </c>
      <c r="H120" s="19">
        <v>285.73640810811844</v>
      </c>
      <c r="I120" s="19">
        <v>280.2415777797404</v>
      </c>
      <c r="J120" s="25">
        <f t="shared" si="1"/>
        <v>1802.473385</v>
      </c>
      <c r="K120" s="27">
        <f t="shared" si="2"/>
        <v>0.001254133657</v>
      </c>
    </row>
    <row r="121">
      <c r="A121" s="17" t="s">
        <v>102</v>
      </c>
      <c r="B121" s="17" t="s">
        <v>115</v>
      </c>
      <c r="C121" s="17" t="s">
        <v>122</v>
      </c>
      <c r="D121" s="19">
        <v>988.25</v>
      </c>
      <c r="E121" s="19">
        <f t="shared" si="14"/>
        <v>980.344</v>
      </c>
      <c r="F121" s="19">
        <v>963.6846</v>
      </c>
      <c r="G121" s="19">
        <v>953.0114207800001</v>
      </c>
      <c r="H121" s="19">
        <v>936.826970528568</v>
      </c>
      <c r="I121" s="19">
        <v>975.0</v>
      </c>
      <c r="J121" s="25">
        <f t="shared" si="1"/>
        <v>5797.116991</v>
      </c>
      <c r="K121" s="27">
        <f t="shared" si="2"/>
        <v>0.004033546123</v>
      </c>
    </row>
    <row r="122">
      <c r="A122" s="17" t="s">
        <v>102</v>
      </c>
      <c r="B122" s="17" t="s">
        <v>115</v>
      </c>
      <c r="C122" s="17" t="s">
        <v>118</v>
      </c>
      <c r="D122" s="19">
        <v>1438.25</v>
      </c>
      <c r="E122" s="19">
        <v>1392.0</v>
      </c>
      <c r="F122" s="19">
        <v>1403.3886</v>
      </c>
      <c r="G122" s="19">
        <v>1392.40762798</v>
      </c>
      <c r="H122" s="19">
        <v>1374.289834416888</v>
      </c>
      <c r="I122" s="19">
        <v>1400.0</v>
      </c>
      <c r="J122" s="25">
        <f t="shared" si="1"/>
        <v>8400.336062</v>
      </c>
      <c r="K122" s="27">
        <f t="shared" si="2"/>
        <v>0.00584482649</v>
      </c>
    </row>
    <row r="123">
      <c r="A123" s="17" t="s">
        <v>102</v>
      </c>
      <c r="B123" s="17" t="s">
        <v>115</v>
      </c>
      <c r="C123" s="30" t="s">
        <v>186</v>
      </c>
      <c r="D123" s="31">
        <v>0.0</v>
      </c>
      <c r="E123" s="31">
        <v>0.0</v>
      </c>
      <c r="F123" s="31">
        <v>0.0</v>
      </c>
      <c r="G123" s="31">
        <v>0.0</v>
      </c>
      <c r="H123" s="31">
        <v>0.0</v>
      </c>
      <c r="I123" s="31">
        <v>0.0</v>
      </c>
      <c r="J123" s="25">
        <f t="shared" si="1"/>
        <v>0</v>
      </c>
      <c r="K123" s="27">
        <f t="shared" si="2"/>
        <v>0</v>
      </c>
    </row>
    <row r="124">
      <c r="A124" s="17" t="s">
        <v>102</v>
      </c>
      <c r="B124" s="17" t="s">
        <v>115</v>
      </c>
      <c r="C124" s="17" t="s">
        <v>117</v>
      </c>
      <c r="D124" s="19">
        <v>2667.5</v>
      </c>
      <c r="E124" s="19">
        <v>2668.0</v>
      </c>
      <c r="F124" s="19">
        <v>2604.51336</v>
      </c>
      <c r="G124" s="19">
        <v>2592.691600648</v>
      </c>
      <c r="H124" s="19">
        <v>2569.292557605149</v>
      </c>
      <c r="I124" s="19">
        <v>2500.0</v>
      </c>
      <c r="J124" s="25">
        <f t="shared" si="1"/>
        <v>15601.99752</v>
      </c>
      <c r="K124" s="27">
        <f t="shared" si="2"/>
        <v>0.01085563336</v>
      </c>
    </row>
    <row r="125">
      <c r="A125" s="17" t="s">
        <v>102</v>
      </c>
      <c r="B125" s="17" t="s">
        <v>115</v>
      </c>
      <c r="C125" s="17" t="s">
        <v>116</v>
      </c>
      <c r="D125" s="19">
        <v>2590.0</v>
      </c>
      <c r="E125" s="19">
        <v>2609.0</v>
      </c>
      <c r="F125" s="19">
        <v>2590.0</v>
      </c>
      <c r="G125" s="19">
        <v>2680.0</v>
      </c>
      <c r="H125" s="19">
        <v>2609.0</v>
      </c>
      <c r="I125" s="19">
        <v>2609.0</v>
      </c>
      <c r="J125" s="25">
        <f t="shared" si="1"/>
        <v>15687</v>
      </c>
      <c r="K125" s="27">
        <f t="shared" si="2"/>
        <v>0.0109147768</v>
      </c>
    </row>
    <row r="126">
      <c r="A126" s="17" t="s">
        <v>102</v>
      </c>
      <c r="B126" s="17" t="s">
        <v>115</v>
      </c>
      <c r="C126" s="30" t="s">
        <v>187</v>
      </c>
      <c r="D126" s="31">
        <v>0.0</v>
      </c>
      <c r="E126" s="31">
        <v>0.0</v>
      </c>
      <c r="F126" s="31">
        <v>0.0</v>
      </c>
      <c r="G126" s="31">
        <v>0.0</v>
      </c>
      <c r="H126" s="31">
        <v>0.0</v>
      </c>
      <c r="I126" s="31">
        <v>142.0</v>
      </c>
      <c r="J126" s="25">
        <f t="shared" si="1"/>
        <v>142</v>
      </c>
      <c r="K126" s="27">
        <f t="shared" si="2"/>
        <v>0.00009880144739</v>
      </c>
    </row>
    <row r="127">
      <c r="A127" s="17" t="s">
        <v>102</v>
      </c>
      <c r="B127" s="17" t="s">
        <v>115</v>
      </c>
      <c r="C127" s="17" t="s">
        <v>121</v>
      </c>
      <c r="D127" s="19">
        <v>1467.5</v>
      </c>
      <c r="E127" s="19">
        <f>D127-(0.008*D127)</f>
        <v>1455.76</v>
      </c>
      <c r="F127" s="19">
        <v>1431.96936</v>
      </c>
      <c r="G127" s="19">
        <v>1420.968381448</v>
      </c>
      <c r="H127" s="19">
        <v>1402.7249205696287</v>
      </c>
      <c r="I127" s="19">
        <v>1434.6492054087112</v>
      </c>
      <c r="J127" s="25">
        <f t="shared" si="1"/>
        <v>8613.571867</v>
      </c>
      <c r="K127" s="27">
        <f t="shared" si="2"/>
        <v>0.005993192731</v>
      </c>
    </row>
    <row r="128">
      <c r="A128" s="17" t="s">
        <v>102</v>
      </c>
      <c r="B128" s="17" t="s">
        <v>124</v>
      </c>
      <c r="C128" s="17" t="s">
        <v>129</v>
      </c>
      <c r="D128" s="19">
        <v>1250.0</v>
      </c>
      <c r="E128" s="19">
        <v>1299.0</v>
      </c>
      <c r="F128" s="19">
        <v>1219.44576</v>
      </c>
      <c r="G128" s="19">
        <v>1208.5935479680002</v>
      </c>
      <c r="H128" s="19">
        <v>1191.2845363569409</v>
      </c>
      <c r="I128" s="19">
        <v>1216.1255683248983</v>
      </c>
      <c r="J128" s="25">
        <f t="shared" si="1"/>
        <v>7384.449413</v>
      </c>
      <c r="K128" s="27">
        <f t="shared" si="2"/>
        <v>0.005137987959</v>
      </c>
    </row>
    <row r="129">
      <c r="A129" s="17" t="s">
        <v>102</v>
      </c>
      <c r="B129" s="17" t="s">
        <v>124</v>
      </c>
      <c r="C129" s="30" t="s">
        <v>188</v>
      </c>
      <c r="D129" s="31">
        <v>0.0</v>
      </c>
      <c r="E129" s="31">
        <v>0.0</v>
      </c>
      <c r="F129" s="31">
        <v>0.0</v>
      </c>
      <c r="G129" s="31">
        <v>0.0</v>
      </c>
      <c r="H129" s="31">
        <v>0.0</v>
      </c>
      <c r="I129" s="31">
        <v>0.0</v>
      </c>
      <c r="J129" s="25">
        <f t="shared" si="1"/>
        <v>0</v>
      </c>
      <c r="K129" s="27">
        <f t="shared" si="2"/>
        <v>0</v>
      </c>
    </row>
    <row r="130">
      <c r="A130" s="17" t="s">
        <v>102</v>
      </c>
      <c r="B130" s="17" t="s">
        <v>124</v>
      </c>
      <c r="C130" s="17" t="s">
        <v>125</v>
      </c>
      <c r="D130" s="19">
        <v>2513.75</v>
      </c>
      <c r="E130" s="19">
        <v>2609.0</v>
      </c>
      <c r="F130" s="19">
        <v>2454.28116</v>
      </c>
      <c r="G130" s="19">
        <v>2442.564563188</v>
      </c>
      <c r="H130" s="19">
        <v>2419.826079109973</v>
      </c>
      <c r="I130" s="19">
        <v>2485.8232527601567</v>
      </c>
      <c r="J130" s="25">
        <f t="shared" si="1"/>
        <v>14925.24506</v>
      </c>
      <c r="K130" s="27">
        <f t="shared" si="2"/>
        <v>0.01038475925</v>
      </c>
    </row>
    <row r="131">
      <c r="A131" s="17" t="s">
        <v>102</v>
      </c>
      <c r="B131" s="17" t="s">
        <v>124</v>
      </c>
      <c r="C131" s="30" t="s">
        <v>189</v>
      </c>
      <c r="D131" s="31">
        <v>0.0</v>
      </c>
      <c r="E131" s="31">
        <v>0.0</v>
      </c>
      <c r="F131" s="31">
        <v>0.0</v>
      </c>
      <c r="G131" s="31">
        <v>0.0</v>
      </c>
      <c r="H131" s="31">
        <v>0.0</v>
      </c>
      <c r="I131" s="31">
        <v>0.0</v>
      </c>
      <c r="J131" s="25">
        <f t="shared" si="1"/>
        <v>0</v>
      </c>
      <c r="K131" s="27">
        <f t="shared" si="2"/>
        <v>0</v>
      </c>
    </row>
    <row r="132">
      <c r="A132" s="17" t="s">
        <v>102</v>
      </c>
      <c r="B132" s="17" t="s">
        <v>124</v>
      </c>
      <c r="C132" s="17" t="s">
        <v>127</v>
      </c>
      <c r="D132" s="19">
        <v>1583.0</v>
      </c>
      <c r="E132" s="20">
        <v>1702.0</v>
      </c>
      <c r="F132" s="19">
        <v>1544.82672</v>
      </c>
      <c r="G132" s="19">
        <v>1533.746741296</v>
      </c>
      <c r="H132" s="19">
        <v>1515.0070556342976</v>
      </c>
      <c r="I132" s="19">
        <v>1550.6927919980465</v>
      </c>
      <c r="J132" s="25">
        <f t="shared" si="1"/>
        <v>9429.273309</v>
      </c>
      <c r="K132" s="27">
        <f t="shared" si="2"/>
        <v>0.006560745428</v>
      </c>
    </row>
    <row r="133">
      <c r="A133" s="17" t="s">
        <v>102</v>
      </c>
      <c r="B133" s="17" t="s">
        <v>124</v>
      </c>
      <c r="C133" s="30" t="s">
        <v>190</v>
      </c>
      <c r="D133" s="31">
        <v>0.0</v>
      </c>
      <c r="E133" s="31">
        <v>0.0</v>
      </c>
      <c r="F133" s="31">
        <v>0.0</v>
      </c>
      <c r="G133" s="31">
        <v>0.0</v>
      </c>
      <c r="H133" s="31">
        <v>0.0</v>
      </c>
      <c r="I133" s="34">
        <v>120.0</v>
      </c>
      <c r="J133" s="25">
        <f t="shared" si="1"/>
        <v>120</v>
      </c>
      <c r="K133" s="27">
        <f t="shared" si="2"/>
        <v>0.0000834941809</v>
      </c>
    </row>
    <row r="134">
      <c r="A134" s="17" t="s">
        <v>102</v>
      </c>
      <c r="B134" s="17" t="s">
        <v>124</v>
      </c>
      <c r="C134" s="17" t="s">
        <v>126</v>
      </c>
      <c r="D134" s="19">
        <v>2388.5</v>
      </c>
      <c r="E134" s="20">
        <v>2780.0</v>
      </c>
      <c r="F134" s="19">
        <v>2331.89688</v>
      </c>
      <c r="G134" s="19">
        <v>2320.2659521839996</v>
      </c>
      <c r="H134" s="19">
        <v>2298.06558199439</v>
      </c>
      <c r="I134" s="19">
        <v>2359.983778991202</v>
      </c>
      <c r="J134" s="25">
        <f t="shared" si="1"/>
        <v>14478.71219</v>
      </c>
      <c r="K134" s="27">
        <f t="shared" si="2"/>
        <v>0.01007406846</v>
      </c>
    </row>
    <row r="135">
      <c r="A135" s="17" t="s">
        <v>102</v>
      </c>
      <c r="B135" s="17" t="s">
        <v>124</v>
      </c>
      <c r="C135" s="17" t="s">
        <v>128</v>
      </c>
      <c r="D135" s="19">
        <v>1548.5</v>
      </c>
      <c r="E135" s="19">
        <f t="shared" ref="E135:E137" si="15">D135-(0.008*D135)</f>
        <v>1536.112</v>
      </c>
      <c r="F135" s="19">
        <v>1511.11608</v>
      </c>
      <c r="G135" s="19">
        <v>1500.0596987440001</v>
      </c>
      <c r="H135" s="19">
        <v>1481.4682360695265</v>
      </c>
      <c r="I135" s="19">
        <v>1516.0304219778557</v>
      </c>
      <c r="J135" s="25">
        <f t="shared" si="1"/>
        <v>9093.286437</v>
      </c>
      <c r="K135" s="27">
        <f t="shared" si="2"/>
        <v>0.006326970856</v>
      </c>
    </row>
    <row r="136">
      <c r="A136" s="17" t="s">
        <v>130</v>
      </c>
      <c r="B136" s="17" t="s">
        <v>131</v>
      </c>
      <c r="C136" s="17" t="s">
        <v>134</v>
      </c>
      <c r="D136" s="19">
        <v>4800.0</v>
      </c>
      <c r="E136" s="19">
        <f t="shared" si="15"/>
        <v>4761.6</v>
      </c>
      <c r="F136" s="19">
        <v>4999.0</v>
      </c>
      <c r="G136" s="19">
        <v>5172.679663923999</v>
      </c>
      <c r="H136" s="19">
        <v>5137.928673402734</v>
      </c>
      <c r="I136" s="19">
        <v>5138.0</v>
      </c>
      <c r="J136" s="25">
        <f t="shared" si="1"/>
        <v>30009.20834</v>
      </c>
      <c r="K136" s="27">
        <f t="shared" si="2"/>
        <v>0.02087995225</v>
      </c>
    </row>
    <row r="137">
      <c r="A137" s="17" t="s">
        <v>130</v>
      </c>
      <c r="B137" s="17" t="s">
        <v>131</v>
      </c>
      <c r="C137" s="17" t="s">
        <v>136</v>
      </c>
      <c r="D137" s="19">
        <v>4390.0</v>
      </c>
      <c r="E137" s="19">
        <f t="shared" si="15"/>
        <v>4354.88</v>
      </c>
      <c r="F137" s="19">
        <v>4309.0</v>
      </c>
      <c r="G137" s="19">
        <v>4321.0</v>
      </c>
      <c r="H137" s="19">
        <v>4065.14465687635</v>
      </c>
      <c r="I137" s="19">
        <v>4100.0</v>
      </c>
      <c r="J137" s="25">
        <f t="shared" si="1"/>
        <v>25540.02466</v>
      </c>
      <c r="K137" s="27">
        <f t="shared" si="2"/>
        <v>0.01777036199</v>
      </c>
    </row>
    <row r="138">
      <c r="A138" s="17" t="s">
        <v>130</v>
      </c>
      <c r="B138" s="17" t="s">
        <v>131</v>
      </c>
      <c r="C138" s="17" t="s">
        <v>132</v>
      </c>
      <c r="D138" s="19">
        <v>5000.0</v>
      </c>
      <c r="E138" s="19">
        <v>4790.0</v>
      </c>
      <c r="F138" s="19">
        <v>4709.0</v>
      </c>
      <c r="G138" s="19">
        <v>5352.832108875999</v>
      </c>
      <c r="H138" s="19">
        <v>5434.0</v>
      </c>
      <c r="I138" s="19">
        <v>5480.350610591443</v>
      </c>
      <c r="J138" s="25">
        <f t="shared" si="1"/>
        <v>30766.18272</v>
      </c>
      <c r="K138" s="27">
        <f t="shared" si="2"/>
        <v>0.02140664355</v>
      </c>
    </row>
    <row r="139">
      <c r="A139" s="17" t="s">
        <v>130</v>
      </c>
      <c r="B139" s="17" t="s">
        <v>131</v>
      </c>
      <c r="C139" s="17" t="s">
        <v>135</v>
      </c>
      <c r="D139" s="19">
        <v>4700.0</v>
      </c>
      <c r="E139" s="19">
        <v>4609.0</v>
      </c>
      <c r="F139" s="19">
        <v>4678.75</v>
      </c>
      <c r="G139" s="19">
        <v>4501.0</v>
      </c>
      <c r="H139" s="19">
        <v>4231.0</v>
      </c>
      <c r="I139" s="19">
        <v>4212.0</v>
      </c>
      <c r="J139" s="25">
        <f t="shared" si="1"/>
        <v>26931.75</v>
      </c>
      <c r="K139" s="27">
        <f t="shared" si="2"/>
        <v>0.01873870339</v>
      </c>
    </row>
    <row r="140">
      <c r="A140" s="17" t="s">
        <v>130</v>
      </c>
      <c r="B140" s="17" t="s">
        <v>131</v>
      </c>
      <c r="C140" s="17" t="s">
        <v>139</v>
      </c>
      <c r="D140" s="19">
        <v>1349.0</v>
      </c>
      <c r="E140" s="19">
        <f>D140-(0.008*D140)</f>
        <v>1338.208</v>
      </c>
      <c r="F140" s="19">
        <v>1316.18064</v>
      </c>
      <c r="G140" s="19">
        <v>1305.260713552</v>
      </c>
      <c r="H140" s="19">
        <v>1287.526366412371</v>
      </c>
      <c r="I140" s="19">
        <v>1315.5914996871854</v>
      </c>
      <c r="J140" s="25">
        <f t="shared" si="1"/>
        <v>7911.76722</v>
      </c>
      <c r="K140" s="27">
        <f t="shared" si="2"/>
        <v>0.005504887695</v>
      </c>
    </row>
    <row r="141">
      <c r="A141" s="17" t="s">
        <v>130</v>
      </c>
      <c r="B141" s="17" t="s">
        <v>131</v>
      </c>
      <c r="C141" s="17" t="s">
        <v>137</v>
      </c>
      <c r="D141" s="19">
        <v>3311.0</v>
      </c>
      <c r="E141" s="20">
        <v>3109.0</v>
      </c>
      <c r="F141" s="19">
        <v>3100.0</v>
      </c>
      <c r="G141" s="19">
        <v>3221.028176944</v>
      </c>
      <c r="H141" s="19">
        <v>3194.864452965446</v>
      </c>
      <c r="I141" s="19">
        <v>3286.8254121397886</v>
      </c>
      <c r="J141" s="25">
        <f t="shared" si="1"/>
        <v>19222.71804</v>
      </c>
      <c r="K141" s="27">
        <f t="shared" si="2"/>
        <v>0.01337487581</v>
      </c>
    </row>
    <row r="142">
      <c r="A142" s="17" t="s">
        <v>130</v>
      </c>
      <c r="B142" s="17" t="s">
        <v>131</v>
      </c>
      <c r="C142" s="17" t="s">
        <v>140</v>
      </c>
      <c r="D142" s="19">
        <v>1062.5</v>
      </c>
      <c r="E142" s="19">
        <f t="shared" ref="E142:E143" si="16">D142-(0.008*D142)</f>
        <v>1054</v>
      </c>
      <c r="F142" s="19">
        <v>1036.23576</v>
      </c>
      <c r="G142" s="19">
        <v>1025.511794968</v>
      </c>
      <c r="H142" s="19">
        <v>1009.0083430701408</v>
      </c>
      <c r="I142" s="19">
        <v>1027.7431225629905</v>
      </c>
      <c r="J142" s="25">
        <f t="shared" si="1"/>
        <v>6214.999021</v>
      </c>
      <c r="K142" s="27">
        <f t="shared" si="2"/>
        <v>0.004324302104</v>
      </c>
    </row>
    <row r="143">
      <c r="A143" s="17" t="s">
        <v>130</v>
      </c>
      <c r="B143" s="17" t="s">
        <v>131</v>
      </c>
      <c r="C143" s="17" t="s">
        <v>138</v>
      </c>
      <c r="D143" s="19">
        <v>3217.25</v>
      </c>
      <c r="E143" s="19">
        <f t="shared" si="16"/>
        <v>3191.512</v>
      </c>
      <c r="F143" s="19">
        <v>3141.6850799999997</v>
      </c>
      <c r="G143" s="19">
        <v>3129.4873004439996</v>
      </c>
      <c r="H143" s="19">
        <v>3103.726356322046</v>
      </c>
      <c r="I143" s="19">
        <v>3192.6341892588343</v>
      </c>
      <c r="J143" s="25">
        <f t="shared" si="1"/>
        <v>18976.29493</v>
      </c>
      <c r="K143" s="27">
        <f t="shared" si="2"/>
        <v>0.01320341834</v>
      </c>
    </row>
    <row r="144">
      <c r="A144" s="17" t="s">
        <v>130</v>
      </c>
      <c r="B144" s="17" t="s">
        <v>131</v>
      </c>
      <c r="C144" s="17" t="s">
        <v>133</v>
      </c>
      <c r="D144" s="19">
        <v>4478.75</v>
      </c>
      <c r="E144" s="19">
        <v>4600.0</v>
      </c>
      <c r="F144" s="19">
        <v>4374.321959999999</v>
      </c>
      <c r="G144" s="19">
        <v>4361.2613346279995</v>
      </c>
      <c r="H144" s="19">
        <v>4330.080584755637</v>
      </c>
      <c r="I144" s="19">
        <v>4440.07128434495</v>
      </c>
      <c r="J144" s="25">
        <f t="shared" si="1"/>
        <v>26584.48516</v>
      </c>
      <c r="K144" s="27">
        <f t="shared" si="2"/>
        <v>0.01849708178</v>
      </c>
    </row>
    <row r="145">
      <c r="A145" s="17" t="s">
        <v>130</v>
      </c>
      <c r="B145" s="17" t="s">
        <v>156</v>
      </c>
      <c r="C145" s="17" t="s">
        <v>159</v>
      </c>
      <c r="D145" s="19">
        <v>3428.75</v>
      </c>
      <c r="E145" s="20">
        <v>3599.0</v>
      </c>
      <c r="F145" s="19">
        <v>3348.3459599999996</v>
      </c>
      <c r="G145" s="19">
        <v>3336.0035178279995</v>
      </c>
      <c r="H145" s="19">
        <v>3109.0</v>
      </c>
      <c r="I145" s="19">
        <v>3108.0</v>
      </c>
      <c r="J145" s="25">
        <f t="shared" si="1"/>
        <v>19929.09948</v>
      </c>
      <c r="K145" s="27">
        <f t="shared" si="2"/>
        <v>0.01386636531</v>
      </c>
    </row>
    <row r="146">
      <c r="A146" s="17" t="s">
        <v>130</v>
      </c>
      <c r="B146" s="17" t="s">
        <v>156</v>
      </c>
      <c r="C146" s="17" t="s">
        <v>169</v>
      </c>
      <c r="D146" s="19">
        <v>808.0</v>
      </c>
      <c r="E146" s="19">
        <f t="shared" ref="E146:E147" si="17">D146-(0.008*D146)</f>
        <v>801.536</v>
      </c>
      <c r="F146" s="19">
        <v>819.31512</v>
      </c>
      <c r="G146" s="19">
        <v>808.742999416</v>
      </c>
      <c r="H146" s="19">
        <v>793.1933302185696</v>
      </c>
      <c r="I146" s="19">
        <v>804.6983067808917</v>
      </c>
      <c r="J146" s="25">
        <f t="shared" si="1"/>
        <v>4835.485756</v>
      </c>
      <c r="K146" s="27">
        <f t="shared" si="2"/>
        <v>0.003364457687</v>
      </c>
    </row>
    <row r="147">
      <c r="A147" s="17" t="s">
        <v>130</v>
      </c>
      <c r="B147" s="17" t="s">
        <v>156</v>
      </c>
      <c r="C147" s="17" t="s">
        <v>168</v>
      </c>
      <c r="D147" s="19">
        <v>1785.5</v>
      </c>
      <c r="E147" s="19">
        <f t="shared" si="17"/>
        <v>1771.216</v>
      </c>
      <c r="F147" s="19">
        <v>1742.69352</v>
      </c>
      <c r="G147" s="19">
        <v>1731.475034536</v>
      </c>
      <c r="H147" s="19">
        <v>1567.0</v>
      </c>
      <c r="I147" s="19">
        <v>1670.0</v>
      </c>
      <c r="J147" s="25">
        <f t="shared" si="1"/>
        <v>10267.88455</v>
      </c>
      <c r="K147" s="27">
        <f t="shared" si="2"/>
        <v>0.00714423842</v>
      </c>
    </row>
    <row r="148">
      <c r="A148" s="17" t="s">
        <v>130</v>
      </c>
      <c r="B148" s="17" t="s">
        <v>156</v>
      </c>
      <c r="C148" s="17" t="s">
        <v>166</v>
      </c>
      <c r="D148" s="19">
        <v>804.5</v>
      </c>
      <c r="E148" s="19">
        <v>900.0</v>
      </c>
      <c r="F148" s="19">
        <v>800.0</v>
      </c>
      <c r="G148" s="19">
        <v>795.0</v>
      </c>
      <c r="H148" s="19">
        <v>850.0</v>
      </c>
      <c r="I148" s="19">
        <v>900.0</v>
      </c>
      <c r="J148" s="25">
        <f t="shared" si="1"/>
        <v>5049.5</v>
      </c>
      <c r="K148" s="27">
        <f t="shared" si="2"/>
        <v>0.003513365554</v>
      </c>
    </row>
    <row r="149">
      <c r="A149" s="17" t="s">
        <v>130</v>
      </c>
      <c r="B149" s="17" t="s">
        <v>156</v>
      </c>
      <c r="C149" s="30" t="s">
        <v>170</v>
      </c>
      <c r="D149" s="31">
        <v>0.0</v>
      </c>
      <c r="E149" s="31">
        <v>150.0</v>
      </c>
      <c r="F149" s="31">
        <v>230.0</v>
      </c>
      <c r="G149" s="31">
        <v>289.0</v>
      </c>
      <c r="H149" s="31">
        <v>320.0</v>
      </c>
      <c r="I149" s="31">
        <v>347.0</v>
      </c>
      <c r="J149" s="25">
        <f t="shared" si="1"/>
        <v>1336</v>
      </c>
      <c r="K149" s="27">
        <f t="shared" si="2"/>
        <v>0.0009295685473</v>
      </c>
    </row>
    <row r="150">
      <c r="A150" s="17" t="s">
        <v>130</v>
      </c>
      <c r="B150" s="17" t="s">
        <v>156</v>
      </c>
      <c r="C150" s="17" t="s">
        <v>160</v>
      </c>
      <c r="D150" s="19">
        <v>4209.0</v>
      </c>
      <c r="E150" s="19">
        <v>4309.0</v>
      </c>
      <c r="F150" s="19">
        <v>4306.0</v>
      </c>
      <c r="G150" s="19">
        <v>4201.0</v>
      </c>
      <c r="H150" s="19">
        <v>4096.0</v>
      </c>
      <c r="I150" s="19">
        <v>4156.0</v>
      </c>
      <c r="J150" s="25">
        <f t="shared" si="1"/>
        <v>25277</v>
      </c>
      <c r="K150" s="27">
        <f t="shared" si="2"/>
        <v>0.01758735342</v>
      </c>
    </row>
    <row r="151">
      <c r="A151" s="17" t="s">
        <v>130</v>
      </c>
      <c r="B151" s="17" t="s">
        <v>156</v>
      </c>
      <c r="C151" s="17" t="s">
        <v>165</v>
      </c>
      <c r="D151" s="19">
        <v>2106.5</v>
      </c>
      <c r="E151" s="19">
        <v>2200.0</v>
      </c>
      <c r="F151" s="19">
        <v>2056.34904</v>
      </c>
      <c r="G151" s="19">
        <v>2044.910995672</v>
      </c>
      <c r="H151" s="19">
        <v>2023.9221872910432</v>
      </c>
      <c r="I151" s="19">
        <v>2100.0</v>
      </c>
      <c r="J151" s="25">
        <f t="shared" si="1"/>
        <v>12531.68222</v>
      </c>
      <c r="K151" s="27">
        <f t="shared" si="2"/>
        <v>0.008719354521</v>
      </c>
    </row>
    <row r="152">
      <c r="A152" s="17" t="s">
        <v>130</v>
      </c>
      <c r="B152" s="17" t="s">
        <v>156</v>
      </c>
      <c r="C152" s="17" t="s">
        <v>163</v>
      </c>
      <c r="D152" s="19">
        <v>2396.0</v>
      </c>
      <c r="E152" s="19">
        <f>D152-(0.008*D152)</f>
        <v>2376.832</v>
      </c>
      <c r="F152" s="19">
        <v>2230.0</v>
      </c>
      <c r="G152" s="19">
        <v>2319.589222304</v>
      </c>
      <c r="H152" s="19">
        <v>2297.3918297258624</v>
      </c>
      <c r="I152" s="19">
        <v>2358.28745602168</v>
      </c>
      <c r="J152" s="25">
        <f t="shared" si="1"/>
        <v>13978.10051</v>
      </c>
      <c r="K152" s="27">
        <f t="shared" si="2"/>
        <v>0.009725750437</v>
      </c>
    </row>
    <row r="153">
      <c r="A153" s="17" t="s">
        <v>130</v>
      </c>
      <c r="B153" s="17" t="s">
        <v>156</v>
      </c>
      <c r="C153" s="17" t="s">
        <v>157</v>
      </c>
      <c r="D153" s="19">
        <v>4500.0</v>
      </c>
      <c r="E153" s="20">
        <v>4600.0</v>
      </c>
      <c r="F153" s="19">
        <v>4389.0</v>
      </c>
      <c r="G153" s="19">
        <v>4298.0</v>
      </c>
      <c r="H153" s="19">
        <v>4000.0</v>
      </c>
      <c r="I153" s="19">
        <v>4012.0</v>
      </c>
      <c r="J153" s="25">
        <f t="shared" si="1"/>
        <v>25799</v>
      </c>
      <c r="K153" s="27">
        <f t="shared" si="2"/>
        <v>0.01795055311</v>
      </c>
    </row>
    <row r="154">
      <c r="A154" s="17" t="s">
        <v>130</v>
      </c>
      <c r="B154" s="17" t="s">
        <v>156</v>
      </c>
      <c r="C154" s="17" t="s">
        <v>162</v>
      </c>
      <c r="D154" s="19">
        <v>3200.0</v>
      </c>
      <c r="E154" s="19">
        <v>3200.0</v>
      </c>
      <c r="F154" s="19">
        <v>2608.0</v>
      </c>
      <c r="G154" s="19">
        <v>2627.843297224</v>
      </c>
      <c r="H154" s="19">
        <v>2300.0</v>
      </c>
      <c r="I154" s="19">
        <v>2350.0</v>
      </c>
      <c r="J154" s="25">
        <f t="shared" si="1"/>
        <v>16285.8433</v>
      </c>
      <c r="K154" s="27">
        <f t="shared" si="2"/>
        <v>0.01133144289</v>
      </c>
    </row>
    <row r="155">
      <c r="A155" s="17" t="s">
        <v>130</v>
      </c>
      <c r="B155" s="17" t="s">
        <v>141</v>
      </c>
      <c r="C155" s="17" t="s">
        <v>142</v>
      </c>
      <c r="D155" s="19">
        <v>5700.0</v>
      </c>
      <c r="E155" s="20">
        <v>5600.0</v>
      </c>
      <c r="F155" s="19">
        <v>4900.0</v>
      </c>
      <c r="G155" s="19">
        <v>5300.0</v>
      </c>
      <c r="H155" s="19">
        <v>5202.0</v>
      </c>
      <c r="I155" s="19">
        <v>5202.0</v>
      </c>
      <c r="J155" s="25">
        <f t="shared" si="1"/>
        <v>31904</v>
      </c>
      <c r="K155" s="27">
        <f t="shared" si="2"/>
        <v>0.02219831956</v>
      </c>
    </row>
    <row r="156">
      <c r="A156" s="17" t="s">
        <v>130</v>
      </c>
      <c r="B156" s="17" t="s">
        <v>141</v>
      </c>
      <c r="C156" s="17" t="s">
        <v>143</v>
      </c>
      <c r="D156" s="19">
        <v>5600.0</v>
      </c>
      <c r="E156" s="20">
        <v>5432.0</v>
      </c>
      <c r="F156" s="19">
        <v>4900.0</v>
      </c>
      <c r="G156" s="19">
        <v>5123.0</v>
      </c>
      <c r="H156" s="19">
        <v>5202.0</v>
      </c>
      <c r="I156" s="19">
        <v>5000.0</v>
      </c>
      <c r="J156" s="25">
        <f t="shared" si="1"/>
        <v>31257</v>
      </c>
      <c r="K156" s="27">
        <f t="shared" si="2"/>
        <v>0.02174814677</v>
      </c>
    </row>
    <row r="157">
      <c r="A157" s="17" t="s">
        <v>130</v>
      </c>
      <c r="B157" s="17" t="s">
        <v>141</v>
      </c>
      <c r="C157" s="30" t="s">
        <v>153</v>
      </c>
      <c r="D157" s="31">
        <v>0.0</v>
      </c>
      <c r="E157" s="34">
        <v>0.0</v>
      </c>
      <c r="F157" s="34">
        <v>250.0</v>
      </c>
      <c r="G157" s="34">
        <v>350.0</v>
      </c>
      <c r="H157" s="34">
        <v>550.0</v>
      </c>
      <c r="I157" s="34">
        <v>634.0</v>
      </c>
      <c r="J157" s="25">
        <f t="shared" si="1"/>
        <v>1784</v>
      </c>
      <c r="K157" s="27">
        <f t="shared" si="2"/>
        <v>0.001241280156</v>
      </c>
    </row>
    <row r="158">
      <c r="A158" s="17" t="s">
        <v>130</v>
      </c>
      <c r="B158" s="17" t="s">
        <v>141</v>
      </c>
      <c r="C158" s="17" t="s">
        <v>152</v>
      </c>
      <c r="D158" s="19">
        <v>560.75</v>
      </c>
      <c r="E158" s="20">
        <v>546.0</v>
      </c>
      <c r="F158" s="19">
        <v>581.0</v>
      </c>
      <c r="G158" s="19">
        <v>535.5850239399999</v>
      </c>
      <c r="H158" s="19">
        <v>520.237249834664</v>
      </c>
      <c r="I158" s="19">
        <v>509.0</v>
      </c>
      <c r="J158" s="25">
        <f t="shared" si="1"/>
        <v>3252.572274</v>
      </c>
      <c r="K158" s="27">
        <f t="shared" si="2"/>
        <v>0.002263090482</v>
      </c>
    </row>
    <row r="159">
      <c r="A159" s="17" t="s">
        <v>130</v>
      </c>
      <c r="B159" s="17" t="s">
        <v>141</v>
      </c>
      <c r="C159" s="17" t="s">
        <v>147</v>
      </c>
      <c r="D159" s="19">
        <v>2000.0</v>
      </c>
      <c r="E159" s="20">
        <v>2021.0</v>
      </c>
      <c r="F159" s="19">
        <v>1999.92036</v>
      </c>
      <c r="G159" s="19">
        <v>1988.521815748</v>
      </c>
      <c r="H159" s="19">
        <v>1967.7811197587089</v>
      </c>
      <c r="I159" s="19">
        <v>1968.0</v>
      </c>
      <c r="J159" s="25">
        <f t="shared" si="1"/>
        <v>11945.2233</v>
      </c>
      <c r="K159" s="27">
        <f t="shared" si="2"/>
        <v>0.008311305289</v>
      </c>
    </row>
    <row r="160">
      <c r="A160" s="17" t="s">
        <v>130</v>
      </c>
      <c r="B160" s="17" t="s">
        <v>141</v>
      </c>
      <c r="C160" s="17" t="s">
        <v>151</v>
      </c>
      <c r="D160" s="19">
        <v>2012.75</v>
      </c>
      <c r="E160" s="19">
        <f>D160-(0.008*D160)</f>
        <v>1996.648</v>
      </c>
      <c r="F160" s="19">
        <v>1964.74404</v>
      </c>
      <c r="G160" s="19">
        <v>1953.370119172</v>
      </c>
      <c r="H160" s="19">
        <v>1931.78409064764</v>
      </c>
      <c r="I160" s="19">
        <v>1982.465357684339</v>
      </c>
      <c r="J160" s="25">
        <f t="shared" si="1"/>
        <v>11841.76161</v>
      </c>
      <c r="K160" s="27">
        <f t="shared" si="2"/>
        <v>0.008239318215</v>
      </c>
    </row>
    <row r="161">
      <c r="A161" s="17" t="s">
        <v>130</v>
      </c>
      <c r="B161" s="17" t="s">
        <v>141</v>
      </c>
      <c r="C161" s="17" t="s">
        <v>146</v>
      </c>
      <c r="D161" s="19">
        <v>2900.0</v>
      </c>
      <c r="E161" s="20">
        <v>2670.0</v>
      </c>
      <c r="F161" s="19">
        <v>2500.0</v>
      </c>
      <c r="G161" s="19">
        <v>2300.0</v>
      </c>
      <c r="H161" s="19">
        <v>2340.0</v>
      </c>
      <c r="I161" s="19">
        <v>2508.0</v>
      </c>
      <c r="J161" s="25">
        <f t="shared" si="1"/>
        <v>15218</v>
      </c>
      <c r="K161" s="27">
        <f t="shared" si="2"/>
        <v>0.01058845371</v>
      </c>
    </row>
    <row r="162">
      <c r="A162" s="17" t="s">
        <v>130</v>
      </c>
      <c r="B162" s="17" t="s">
        <v>141</v>
      </c>
      <c r="C162" s="30" t="s">
        <v>191</v>
      </c>
      <c r="D162" s="31">
        <v>0.0</v>
      </c>
      <c r="E162" s="34">
        <v>0.0</v>
      </c>
      <c r="F162" s="34">
        <v>0.0</v>
      </c>
      <c r="G162" s="34">
        <v>131.0</v>
      </c>
      <c r="H162" s="34">
        <v>280.0</v>
      </c>
      <c r="I162" s="34">
        <v>358.0</v>
      </c>
      <c r="J162" s="25">
        <f t="shared" si="1"/>
        <v>769</v>
      </c>
      <c r="K162" s="27">
        <f t="shared" si="2"/>
        <v>0.0005350585426</v>
      </c>
    </row>
    <row r="163">
      <c r="A163" s="17" t="s">
        <v>130</v>
      </c>
      <c r="B163" s="17" t="s">
        <v>141</v>
      </c>
      <c r="C163" s="17" t="s">
        <v>149</v>
      </c>
      <c r="D163" s="19">
        <v>1800.0</v>
      </c>
      <c r="E163" s="20">
        <v>1810.0</v>
      </c>
      <c r="F163" s="19">
        <v>1702.0</v>
      </c>
      <c r="G163" s="19">
        <v>1756.7631</v>
      </c>
      <c r="H163" s="19">
        <v>1737.0421423599998</v>
      </c>
      <c r="I163" s="19">
        <v>1780.1660541290598</v>
      </c>
      <c r="J163" s="25">
        <f t="shared" si="1"/>
        <v>10585.9713</v>
      </c>
      <c r="K163" s="27">
        <f t="shared" si="2"/>
        <v>0.007365558353</v>
      </c>
    </row>
    <row r="164">
      <c r="A164" s="1"/>
      <c r="B164" s="1"/>
      <c r="C164" s="1"/>
      <c r="D164" s="54">
        <f t="shared" ref="D164:J164" si="18">SUM(D3:D163)</f>
        <v>242672</v>
      </c>
      <c r="E164" s="54">
        <f t="shared" si="18"/>
        <v>240734.44</v>
      </c>
      <c r="F164" s="54">
        <f t="shared" si="18"/>
        <v>236907.7546</v>
      </c>
      <c r="G164" s="54">
        <f t="shared" si="18"/>
        <v>236765.5517</v>
      </c>
      <c r="H164" s="54">
        <f t="shared" si="18"/>
        <v>236115.2085</v>
      </c>
      <c r="I164" s="54">
        <f t="shared" si="18"/>
        <v>244030.9537</v>
      </c>
      <c r="J164" s="56">
        <f t="shared" si="18"/>
        <v>1437225.909</v>
      </c>
      <c r="K164" s="58">
        <v>1.0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1"/>
      <c r="C166" s="1"/>
      <c r="D166" s="19">
        <v>242981.333333333</v>
      </c>
      <c r="E166" s="19">
        <v>241041.33333333302</v>
      </c>
      <c r="F166" s="19">
        <v>237420.333333333</v>
      </c>
      <c r="G166" s="19">
        <v>237255.333333333</v>
      </c>
      <c r="H166" s="19">
        <v>236215.333333333</v>
      </c>
      <c r="I166" s="19">
        <v>244131.333333333</v>
      </c>
      <c r="J166" s="59">
        <f>SUM(D166:I166)</f>
        <v>1439045</v>
      </c>
      <c r="K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1"/>
      <c r="C168" s="1"/>
      <c r="D168" s="59">
        <f t="shared" ref="D168:J168" si="19">D166-D164</f>
        <v>309.3333333</v>
      </c>
      <c r="E168" s="59">
        <f t="shared" si="19"/>
        <v>306.8933333</v>
      </c>
      <c r="F168" s="59">
        <f t="shared" si="19"/>
        <v>512.5786933</v>
      </c>
      <c r="G168" s="59">
        <f t="shared" si="19"/>
        <v>489.7816047</v>
      </c>
      <c r="H168" s="59">
        <f t="shared" si="19"/>
        <v>100.1248143</v>
      </c>
      <c r="I168" s="59">
        <f t="shared" si="19"/>
        <v>100.3796443</v>
      </c>
      <c r="J168" s="59">
        <f t="shared" si="19"/>
        <v>1819.091423</v>
      </c>
      <c r="K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3.71"/>
  </cols>
  <sheetData>
    <row r="1">
      <c r="A1" s="3"/>
      <c r="B1" s="3"/>
      <c r="C1" s="3"/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4</v>
      </c>
      <c r="J1" s="5" t="s">
        <v>9</v>
      </c>
      <c r="K1" s="8"/>
    </row>
    <row r="2">
      <c r="A2" s="10" t="s">
        <v>0</v>
      </c>
      <c r="B2" s="10" t="s">
        <v>1</v>
      </c>
      <c r="C2" s="10" t="s">
        <v>2</v>
      </c>
      <c r="D2" s="12">
        <v>46138.0</v>
      </c>
      <c r="E2" s="14">
        <v>46168.0</v>
      </c>
      <c r="F2" s="12">
        <v>46199.0</v>
      </c>
      <c r="G2" s="12">
        <v>46229.0</v>
      </c>
      <c r="H2" s="12">
        <v>46260.0</v>
      </c>
      <c r="I2" s="12">
        <v>46291.0</v>
      </c>
      <c r="J2" s="5" t="s">
        <v>5</v>
      </c>
      <c r="K2" s="22" t="s">
        <v>16</v>
      </c>
    </row>
    <row r="3">
      <c r="A3" s="24" t="s">
        <v>6</v>
      </c>
      <c r="B3" s="24" t="s">
        <v>7</v>
      </c>
      <c r="C3" s="24" t="s">
        <v>8</v>
      </c>
      <c r="D3" s="24">
        <v>7.0</v>
      </c>
      <c r="E3" s="24">
        <v>9.0</v>
      </c>
      <c r="F3" s="24">
        <v>8.0</v>
      </c>
      <c r="G3" s="24">
        <v>8.0</v>
      </c>
      <c r="H3" s="24">
        <v>7.0</v>
      </c>
      <c r="I3" s="24">
        <v>9.0</v>
      </c>
      <c r="J3" s="28">
        <f t="shared" ref="J3:J164" si="1">SUM(D3:I3)</f>
        <v>48</v>
      </c>
      <c r="K3" s="29">
        <v>0.0039</v>
      </c>
    </row>
    <row r="4">
      <c r="A4" s="24" t="s">
        <v>6</v>
      </c>
      <c r="B4" s="24" t="s">
        <v>7</v>
      </c>
      <c r="C4" s="24" t="s">
        <v>10</v>
      </c>
      <c r="D4" s="24">
        <v>8.0</v>
      </c>
      <c r="E4" s="24">
        <v>14.0</v>
      </c>
      <c r="F4" s="24">
        <v>12.0</v>
      </c>
      <c r="G4" s="24">
        <v>12.0</v>
      </c>
      <c r="H4" s="24">
        <v>11.0</v>
      </c>
      <c r="I4" s="24">
        <v>13.0</v>
      </c>
      <c r="J4" s="28">
        <f t="shared" si="1"/>
        <v>70</v>
      </c>
      <c r="K4" s="29">
        <v>0.006</v>
      </c>
    </row>
    <row r="5">
      <c r="A5" s="24" t="s">
        <v>6</v>
      </c>
      <c r="B5" s="24" t="s">
        <v>7</v>
      </c>
      <c r="C5" s="24" t="s">
        <v>21</v>
      </c>
      <c r="D5" s="24">
        <v>8.0</v>
      </c>
      <c r="E5" s="24">
        <v>15.0</v>
      </c>
      <c r="F5" s="24">
        <v>13.0</v>
      </c>
      <c r="G5" s="24">
        <v>13.0</v>
      </c>
      <c r="H5" s="24">
        <v>12.0</v>
      </c>
      <c r="I5" s="24">
        <v>14.0</v>
      </c>
      <c r="J5" s="28">
        <f t="shared" si="1"/>
        <v>75</v>
      </c>
      <c r="K5" s="29">
        <v>0.006</v>
      </c>
    </row>
    <row r="6">
      <c r="A6" s="24" t="s">
        <v>6</v>
      </c>
      <c r="B6" s="24" t="s">
        <v>7</v>
      </c>
      <c r="C6" s="24" t="s">
        <v>11</v>
      </c>
      <c r="D6" s="24">
        <v>14.0</v>
      </c>
      <c r="E6" s="24">
        <v>35.0</v>
      </c>
      <c r="F6" s="24">
        <v>30.0</v>
      </c>
      <c r="G6" s="24">
        <v>30.0</v>
      </c>
      <c r="H6" s="24">
        <v>28.0</v>
      </c>
      <c r="I6" s="24">
        <v>33.0</v>
      </c>
      <c r="J6" s="28">
        <f t="shared" si="1"/>
        <v>170</v>
      </c>
      <c r="K6" s="29">
        <v>0.0123</v>
      </c>
    </row>
    <row r="7">
      <c r="A7" s="24" t="s">
        <v>6</v>
      </c>
      <c r="B7" s="24" t="s">
        <v>7</v>
      </c>
      <c r="C7" s="24" t="s">
        <v>15</v>
      </c>
      <c r="D7" s="24">
        <v>8.0</v>
      </c>
      <c r="E7" s="24">
        <v>20.0</v>
      </c>
      <c r="F7" s="24">
        <v>17.0</v>
      </c>
      <c r="G7" s="24">
        <v>17.0</v>
      </c>
      <c r="H7" s="24">
        <v>16.0</v>
      </c>
      <c r="I7" s="24">
        <v>19.0</v>
      </c>
      <c r="J7" s="28">
        <f t="shared" si="1"/>
        <v>97</v>
      </c>
      <c r="K7" s="29">
        <v>0.0082</v>
      </c>
    </row>
    <row r="8">
      <c r="A8" s="24" t="s">
        <v>6</v>
      </c>
      <c r="B8" s="24" t="s">
        <v>7</v>
      </c>
      <c r="C8" s="24" t="s">
        <v>22</v>
      </c>
      <c r="D8" s="24">
        <v>7.0</v>
      </c>
      <c r="E8" s="24">
        <v>16.0</v>
      </c>
      <c r="F8" s="24">
        <v>13.0</v>
      </c>
      <c r="G8" s="24">
        <v>13.0</v>
      </c>
      <c r="H8" s="24">
        <v>12.0</v>
      </c>
      <c r="I8" s="24">
        <v>14.0</v>
      </c>
      <c r="J8" s="28">
        <f t="shared" si="1"/>
        <v>75</v>
      </c>
      <c r="K8" s="29">
        <v>0.0062</v>
      </c>
    </row>
    <row r="9">
      <c r="A9" s="24" t="s">
        <v>6</v>
      </c>
      <c r="B9" s="24" t="s">
        <v>7</v>
      </c>
      <c r="C9" s="32" t="s">
        <v>46</v>
      </c>
      <c r="D9" s="32">
        <v>0.0</v>
      </c>
      <c r="E9" s="32">
        <v>0.0</v>
      </c>
      <c r="F9" s="32">
        <v>0.0</v>
      </c>
      <c r="G9" s="32">
        <v>0.0</v>
      </c>
      <c r="H9" s="32">
        <v>0.0</v>
      </c>
      <c r="I9" s="32">
        <v>0.0</v>
      </c>
      <c r="J9" s="28">
        <f t="shared" si="1"/>
        <v>0</v>
      </c>
      <c r="K9" s="29">
        <v>2.0E-4</v>
      </c>
    </row>
    <row r="10">
      <c r="A10" s="24" t="s">
        <v>6</v>
      </c>
      <c r="B10" s="24" t="s">
        <v>7</v>
      </c>
      <c r="C10" s="24" t="s">
        <v>17</v>
      </c>
      <c r="D10" s="24">
        <v>8.0</v>
      </c>
      <c r="E10" s="24">
        <v>20.0</v>
      </c>
      <c r="F10" s="24">
        <v>17.0</v>
      </c>
      <c r="G10" s="24">
        <v>17.0</v>
      </c>
      <c r="H10" s="24">
        <v>16.0</v>
      </c>
      <c r="I10" s="24">
        <v>19.0</v>
      </c>
      <c r="J10" s="28">
        <f t="shared" si="1"/>
        <v>97</v>
      </c>
      <c r="K10" s="29">
        <v>0.0083</v>
      </c>
    </row>
    <row r="11">
      <c r="A11" s="24" t="s">
        <v>6</v>
      </c>
      <c r="B11" s="24" t="s">
        <v>7</v>
      </c>
      <c r="C11" s="24" t="s">
        <v>23</v>
      </c>
      <c r="D11" s="24">
        <v>6.0</v>
      </c>
      <c r="E11" s="24">
        <v>7.0</v>
      </c>
      <c r="F11" s="24">
        <v>6.0</v>
      </c>
      <c r="G11" s="24">
        <v>6.0</v>
      </c>
      <c r="H11" s="24">
        <v>6.0</v>
      </c>
      <c r="I11" s="24">
        <v>7.0</v>
      </c>
      <c r="J11" s="28">
        <f t="shared" si="1"/>
        <v>38</v>
      </c>
      <c r="K11" s="29">
        <v>0.003</v>
      </c>
    </row>
    <row r="12">
      <c r="A12" s="24" t="s">
        <v>6</v>
      </c>
      <c r="B12" s="24" t="s">
        <v>7</v>
      </c>
      <c r="C12" s="24" t="s">
        <v>12</v>
      </c>
      <c r="D12" s="24">
        <v>10.0</v>
      </c>
      <c r="E12" s="24">
        <v>32.0</v>
      </c>
      <c r="F12" s="24">
        <v>28.0</v>
      </c>
      <c r="G12" s="24">
        <v>28.0</v>
      </c>
      <c r="H12" s="24">
        <v>26.0</v>
      </c>
      <c r="I12" s="24">
        <v>30.0</v>
      </c>
      <c r="J12" s="28">
        <f t="shared" si="1"/>
        <v>154</v>
      </c>
      <c r="K12" s="29">
        <v>0.0121</v>
      </c>
    </row>
    <row r="13">
      <c r="A13" s="24" t="s">
        <v>6</v>
      </c>
      <c r="B13" s="24" t="s">
        <v>7</v>
      </c>
      <c r="C13" s="24" t="s">
        <v>20</v>
      </c>
      <c r="D13" s="24">
        <v>10.0</v>
      </c>
      <c r="E13" s="24">
        <v>22.0</v>
      </c>
      <c r="F13" s="24">
        <v>19.0</v>
      </c>
      <c r="G13" s="24">
        <v>19.0</v>
      </c>
      <c r="H13" s="24">
        <v>18.0</v>
      </c>
      <c r="I13" s="24">
        <v>21.0</v>
      </c>
      <c r="J13" s="28">
        <f t="shared" si="1"/>
        <v>109</v>
      </c>
      <c r="K13" s="29">
        <v>0.0091</v>
      </c>
    </row>
    <row r="14">
      <c r="A14" s="24" t="s">
        <v>6</v>
      </c>
      <c r="B14" s="24" t="s">
        <v>7</v>
      </c>
      <c r="C14" s="24" t="s">
        <v>18</v>
      </c>
      <c r="D14" s="24">
        <v>7.0</v>
      </c>
      <c r="E14" s="24">
        <v>21.0</v>
      </c>
      <c r="F14" s="24">
        <v>18.0</v>
      </c>
      <c r="G14" s="24">
        <v>18.0</v>
      </c>
      <c r="H14" s="24">
        <v>17.0</v>
      </c>
      <c r="I14" s="24">
        <v>20.0</v>
      </c>
      <c r="J14" s="28">
        <f t="shared" si="1"/>
        <v>101</v>
      </c>
      <c r="K14" s="29">
        <v>0.0087</v>
      </c>
    </row>
    <row r="15">
      <c r="A15" s="24" t="s">
        <v>6</v>
      </c>
      <c r="B15" s="24" t="s">
        <v>7</v>
      </c>
      <c r="C15" s="32" t="s">
        <v>60</v>
      </c>
      <c r="D15" s="32">
        <v>0.0</v>
      </c>
      <c r="E15" s="32">
        <v>0.0</v>
      </c>
      <c r="F15" s="32">
        <v>0.0</v>
      </c>
      <c r="G15" s="32">
        <v>0.0</v>
      </c>
      <c r="H15" s="32">
        <v>0.0</v>
      </c>
      <c r="I15" s="32">
        <v>0.0</v>
      </c>
      <c r="J15" s="28">
        <f t="shared" si="1"/>
        <v>0</v>
      </c>
      <c r="K15" s="29">
        <v>2.0E-4</v>
      </c>
    </row>
    <row r="16">
      <c r="A16" s="24" t="s">
        <v>6</v>
      </c>
      <c r="B16" s="24" t="s">
        <v>7</v>
      </c>
      <c r="C16" s="24" t="s">
        <v>14</v>
      </c>
      <c r="D16" s="24">
        <v>7.0</v>
      </c>
      <c r="E16" s="24">
        <v>20.0</v>
      </c>
      <c r="F16" s="24">
        <v>17.0</v>
      </c>
      <c r="G16" s="24">
        <v>17.0</v>
      </c>
      <c r="H16" s="24">
        <v>16.0</v>
      </c>
      <c r="I16" s="24">
        <v>19.0</v>
      </c>
      <c r="J16" s="28">
        <f t="shared" si="1"/>
        <v>96</v>
      </c>
      <c r="K16" s="29">
        <v>0.0083</v>
      </c>
    </row>
    <row r="17">
      <c r="A17" s="24" t="s">
        <v>6</v>
      </c>
      <c r="B17" s="24" t="s">
        <v>7</v>
      </c>
      <c r="C17" s="32" t="s">
        <v>64</v>
      </c>
      <c r="D17" s="32">
        <v>0.0</v>
      </c>
      <c r="E17" s="32">
        <v>0.0</v>
      </c>
      <c r="F17" s="32">
        <v>0.0</v>
      </c>
      <c r="G17" s="32">
        <v>0.0</v>
      </c>
      <c r="H17" s="32">
        <v>0.0</v>
      </c>
      <c r="I17" s="32">
        <v>0.0</v>
      </c>
      <c r="J17" s="28">
        <f t="shared" si="1"/>
        <v>0</v>
      </c>
      <c r="K17" s="29">
        <v>3.0E-4</v>
      </c>
    </row>
    <row r="18">
      <c r="A18" s="24" t="s">
        <v>6</v>
      </c>
      <c r="B18" s="24" t="s">
        <v>7</v>
      </c>
      <c r="C18" s="24" t="s">
        <v>13</v>
      </c>
      <c r="D18" s="24">
        <v>11.0</v>
      </c>
      <c r="E18" s="24">
        <v>35.0</v>
      </c>
      <c r="F18" s="24">
        <v>30.0</v>
      </c>
      <c r="G18" s="24">
        <v>18.0</v>
      </c>
      <c r="H18" s="24">
        <v>30.0</v>
      </c>
      <c r="I18" s="24">
        <v>30.0</v>
      </c>
      <c r="J18" s="28">
        <f t="shared" si="1"/>
        <v>154</v>
      </c>
      <c r="K18" s="29">
        <v>0.0119</v>
      </c>
    </row>
    <row r="19">
      <c r="A19" s="24" t="s">
        <v>6</v>
      </c>
      <c r="B19" s="24" t="s">
        <v>7</v>
      </c>
      <c r="C19" s="24" t="s">
        <v>19</v>
      </c>
      <c r="D19" s="24">
        <v>9.0</v>
      </c>
      <c r="E19" s="24">
        <v>23.0</v>
      </c>
      <c r="F19" s="24">
        <v>20.0</v>
      </c>
      <c r="G19" s="24">
        <v>20.0</v>
      </c>
      <c r="H19" s="24">
        <v>18.0</v>
      </c>
      <c r="I19" s="24">
        <v>22.0</v>
      </c>
      <c r="J19" s="28">
        <f t="shared" si="1"/>
        <v>112</v>
      </c>
      <c r="K19" s="29">
        <v>0.0096</v>
      </c>
    </row>
    <row r="20">
      <c r="A20" s="24" t="s">
        <v>6</v>
      </c>
      <c r="B20" s="24" t="s">
        <v>24</v>
      </c>
      <c r="C20" s="32" t="s">
        <v>33</v>
      </c>
      <c r="D20" s="33"/>
      <c r="E20" s="33"/>
      <c r="F20" s="33"/>
      <c r="G20" s="32">
        <v>1.0</v>
      </c>
      <c r="H20" s="32">
        <v>2.0</v>
      </c>
      <c r="I20" s="32">
        <v>5.0</v>
      </c>
      <c r="J20" s="28">
        <f t="shared" si="1"/>
        <v>8</v>
      </c>
      <c r="K20" s="3"/>
    </row>
    <row r="21">
      <c r="A21" s="24" t="s">
        <v>6</v>
      </c>
      <c r="B21" s="24" t="s">
        <v>24</v>
      </c>
      <c r="C21" s="24" t="s">
        <v>32</v>
      </c>
      <c r="D21" s="24">
        <v>6.0</v>
      </c>
      <c r="E21" s="24">
        <v>13.0</v>
      </c>
      <c r="F21" s="24">
        <v>11.0</v>
      </c>
      <c r="G21" s="24">
        <v>11.0</v>
      </c>
      <c r="H21" s="24">
        <v>10.0</v>
      </c>
      <c r="I21" s="24">
        <v>12.0</v>
      </c>
      <c r="J21" s="28">
        <f t="shared" si="1"/>
        <v>63</v>
      </c>
      <c r="K21" s="29">
        <v>0.0055</v>
      </c>
    </row>
    <row r="22">
      <c r="A22" s="24" t="s">
        <v>6</v>
      </c>
      <c r="B22" s="24" t="s">
        <v>24</v>
      </c>
      <c r="C22" s="24" t="s">
        <v>28</v>
      </c>
      <c r="D22" s="24">
        <v>6.0</v>
      </c>
      <c r="E22" s="24">
        <v>12.0</v>
      </c>
      <c r="F22" s="24">
        <v>10.0</v>
      </c>
      <c r="G22" s="24">
        <v>10.0</v>
      </c>
      <c r="H22" s="24">
        <v>10.0</v>
      </c>
      <c r="I22" s="24">
        <v>11.0</v>
      </c>
      <c r="J22" s="28">
        <f t="shared" si="1"/>
        <v>59</v>
      </c>
      <c r="K22" s="29">
        <v>0.005</v>
      </c>
    </row>
    <row r="23">
      <c r="A23" s="24" t="s">
        <v>6</v>
      </c>
      <c r="B23" s="24" t="s">
        <v>24</v>
      </c>
      <c r="C23" s="24" t="s">
        <v>25</v>
      </c>
      <c r="D23" s="24">
        <v>9.0</v>
      </c>
      <c r="E23" s="24">
        <v>16.0</v>
      </c>
      <c r="F23" s="24">
        <v>14.0</v>
      </c>
      <c r="G23" s="24">
        <v>14.0</v>
      </c>
      <c r="H23" s="24">
        <v>13.0</v>
      </c>
      <c r="I23" s="24">
        <v>15.0</v>
      </c>
      <c r="J23" s="28">
        <f t="shared" si="1"/>
        <v>81</v>
      </c>
      <c r="K23" s="29">
        <v>0.0068</v>
      </c>
    </row>
    <row r="24">
      <c r="A24" s="24" t="s">
        <v>6</v>
      </c>
      <c r="B24" s="24" t="s">
        <v>24</v>
      </c>
      <c r="C24" s="32" t="s">
        <v>80</v>
      </c>
      <c r="D24" s="32">
        <v>0.0</v>
      </c>
      <c r="E24" s="32">
        <v>0.0</v>
      </c>
      <c r="F24" s="32">
        <v>0.0</v>
      </c>
      <c r="G24" s="32">
        <v>0.0</v>
      </c>
      <c r="H24" s="32">
        <v>1.0</v>
      </c>
      <c r="I24" s="32">
        <v>2.0</v>
      </c>
      <c r="J24" s="28">
        <f t="shared" si="1"/>
        <v>3</v>
      </c>
      <c r="K24" s="29">
        <v>0.0011</v>
      </c>
    </row>
    <row r="25">
      <c r="A25" s="24" t="s">
        <v>6</v>
      </c>
      <c r="B25" s="24" t="s">
        <v>24</v>
      </c>
      <c r="C25" s="24" t="s">
        <v>30</v>
      </c>
      <c r="D25" s="24">
        <v>12.0</v>
      </c>
      <c r="E25" s="24">
        <v>8.0</v>
      </c>
      <c r="F25" s="24">
        <v>7.0</v>
      </c>
      <c r="G25" s="24">
        <v>7.0</v>
      </c>
      <c r="H25" s="24">
        <v>6.0</v>
      </c>
      <c r="I25" s="24">
        <v>8.0</v>
      </c>
      <c r="J25" s="28">
        <f t="shared" si="1"/>
        <v>48</v>
      </c>
      <c r="K25" s="29">
        <v>0.0036</v>
      </c>
    </row>
    <row r="26">
      <c r="A26" s="24" t="s">
        <v>6</v>
      </c>
      <c r="B26" s="24" t="s">
        <v>24</v>
      </c>
      <c r="C26" s="24" t="s">
        <v>27</v>
      </c>
      <c r="D26" s="24">
        <v>9.0</v>
      </c>
      <c r="E26" s="24">
        <v>10.0</v>
      </c>
      <c r="F26" s="24">
        <v>9.0</v>
      </c>
      <c r="G26" s="24">
        <v>9.0</v>
      </c>
      <c r="H26" s="24">
        <v>8.0</v>
      </c>
      <c r="I26" s="24">
        <v>10.0</v>
      </c>
      <c r="J26" s="28">
        <f t="shared" si="1"/>
        <v>55</v>
      </c>
      <c r="K26" s="29">
        <v>0.0043</v>
      </c>
    </row>
    <row r="27">
      <c r="A27" s="24" t="s">
        <v>6</v>
      </c>
      <c r="B27" s="24" t="s">
        <v>24</v>
      </c>
      <c r="C27" s="32" t="s">
        <v>34</v>
      </c>
      <c r="D27" s="32">
        <v>0.0</v>
      </c>
      <c r="E27" s="32">
        <v>0.0</v>
      </c>
      <c r="F27" s="32">
        <v>2.0</v>
      </c>
      <c r="G27" s="32">
        <v>3.0</v>
      </c>
      <c r="H27" s="32">
        <v>2.0</v>
      </c>
      <c r="I27" s="32">
        <v>1.0</v>
      </c>
      <c r="J27" s="28">
        <f t="shared" si="1"/>
        <v>8</v>
      </c>
      <c r="K27" s="29">
        <v>8.0E-4</v>
      </c>
    </row>
    <row r="28">
      <c r="A28" s="24" t="s">
        <v>6</v>
      </c>
      <c r="B28" s="24" t="s">
        <v>24</v>
      </c>
      <c r="C28" s="24" t="s">
        <v>26</v>
      </c>
      <c r="D28" s="24">
        <v>7.0</v>
      </c>
      <c r="E28" s="24">
        <v>13.0</v>
      </c>
      <c r="F28" s="24">
        <v>11.0</v>
      </c>
      <c r="G28" s="24">
        <v>11.0</v>
      </c>
      <c r="H28" s="24">
        <v>10.0</v>
      </c>
      <c r="I28" s="24">
        <v>12.0</v>
      </c>
      <c r="J28" s="28">
        <f t="shared" si="1"/>
        <v>64</v>
      </c>
      <c r="K28" s="29">
        <v>0.0054</v>
      </c>
    </row>
    <row r="29">
      <c r="A29" s="24" t="s">
        <v>6</v>
      </c>
      <c r="B29" s="24" t="s">
        <v>24</v>
      </c>
      <c r="C29" s="32" t="s">
        <v>92</v>
      </c>
      <c r="D29" s="32">
        <v>0.0</v>
      </c>
      <c r="E29" s="32">
        <v>0.0</v>
      </c>
      <c r="F29" s="32">
        <v>0.0</v>
      </c>
      <c r="G29" s="32">
        <v>0.0</v>
      </c>
      <c r="H29" s="32">
        <v>0.0</v>
      </c>
      <c r="I29" s="32">
        <v>1.0</v>
      </c>
      <c r="J29" s="28">
        <f t="shared" si="1"/>
        <v>1</v>
      </c>
      <c r="K29" s="29">
        <v>4.0E-4</v>
      </c>
    </row>
    <row r="30">
      <c r="A30" s="24" t="s">
        <v>6</v>
      </c>
      <c r="B30" s="24" t="s">
        <v>24</v>
      </c>
      <c r="C30" s="24" t="s">
        <v>31</v>
      </c>
      <c r="D30" s="24">
        <v>6.0</v>
      </c>
      <c r="E30" s="24">
        <v>11.0</v>
      </c>
      <c r="F30" s="24">
        <v>9.0</v>
      </c>
      <c r="G30" s="24">
        <v>9.0</v>
      </c>
      <c r="H30" s="24">
        <v>9.0</v>
      </c>
      <c r="I30" s="24">
        <v>10.0</v>
      </c>
      <c r="J30" s="28">
        <f t="shared" si="1"/>
        <v>54</v>
      </c>
      <c r="K30" s="29">
        <v>0.0046</v>
      </c>
    </row>
    <row r="31">
      <c r="A31" s="24" t="s">
        <v>6</v>
      </c>
      <c r="B31" s="24" t="s">
        <v>35</v>
      </c>
      <c r="C31" s="24" t="s">
        <v>48</v>
      </c>
      <c r="D31" s="24">
        <v>5.0</v>
      </c>
      <c r="E31" s="24">
        <v>9.0</v>
      </c>
      <c r="F31" s="24">
        <v>8.0</v>
      </c>
      <c r="G31" s="24">
        <v>8.0</v>
      </c>
      <c r="H31" s="24">
        <v>7.0</v>
      </c>
      <c r="I31" s="24">
        <v>9.0</v>
      </c>
      <c r="J31" s="28">
        <f t="shared" si="1"/>
        <v>46</v>
      </c>
      <c r="K31" s="29">
        <v>0.0039</v>
      </c>
    </row>
    <row r="32">
      <c r="A32" s="24" t="s">
        <v>6</v>
      </c>
      <c r="B32" s="24" t="s">
        <v>35</v>
      </c>
      <c r="C32" s="24" t="s">
        <v>42</v>
      </c>
      <c r="D32" s="24">
        <v>7.0</v>
      </c>
      <c r="E32" s="24">
        <v>16.0</v>
      </c>
      <c r="F32" s="24">
        <v>14.0</v>
      </c>
      <c r="G32" s="24">
        <v>14.0</v>
      </c>
      <c r="H32" s="24">
        <v>13.0</v>
      </c>
      <c r="I32" s="24">
        <v>15.0</v>
      </c>
      <c r="J32" s="28">
        <f t="shared" si="1"/>
        <v>79</v>
      </c>
      <c r="K32" s="29">
        <v>0.0067</v>
      </c>
    </row>
    <row r="33">
      <c r="A33" s="24" t="s">
        <v>6</v>
      </c>
      <c r="B33" s="24" t="s">
        <v>35</v>
      </c>
      <c r="C33" s="24" t="s">
        <v>43</v>
      </c>
      <c r="D33" s="24">
        <v>8.0</v>
      </c>
      <c r="E33" s="24">
        <v>16.0</v>
      </c>
      <c r="F33" s="24">
        <v>14.0</v>
      </c>
      <c r="G33" s="24">
        <v>14.0</v>
      </c>
      <c r="H33" s="24">
        <v>13.0</v>
      </c>
      <c r="I33" s="24">
        <v>15.0</v>
      </c>
      <c r="J33" s="28">
        <f t="shared" si="1"/>
        <v>80</v>
      </c>
      <c r="K33" s="29">
        <v>0.0067</v>
      </c>
    </row>
    <row r="34">
      <c r="A34" s="24" t="s">
        <v>6</v>
      </c>
      <c r="B34" s="24" t="s">
        <v>35</v>
      </c>
      <c r="C34" s="32" t="s">
        <v>49</v>
      </c>
      <c r="D34" s="32">
        <v>0.0</v>
      </c>
      <c r="E34" s="32">
        <v>0.0</v>
      </c>
      <c r="F34" s="32">
        <v>0.0</v>
      </c>
      <c r="G34" s="32">
        <v>0.0</v>
      </c>
      <c r="H34" s="32">
        <v>2.0</v>
      </c>
      <c r="I34" s="32">
        <v>1.0</v>
      </c>
      <c r="J34" s="28">
        <f t="shared" si="1"/>
        <v>3</v>
      </c>
      <c r="K34" s="29">
        <v>5.0E-4</v>
      </c>
    </row>
    <row r="35">
      <c r="A35" s="24" t="s">
        <v>6</v>
      </c>
      <c r="B35" s="24" t="s">
        <v>35</v>
      </c>
      <c r="C35" s="24" t="s">
        <v>44</v>
      </c>
      <c r="D35" s="24">
        <v>7.0</v>
      </c>
      <c r="E35" s="24">
        <v>15.0</v>
      </c>
      <c r="F35" s="24">
        <v>13.0</v>
      </c>
      <c r="G35" s="24">
        <v>13.0</v>
      </c>
      <c r="H35" s="24">
        <v>12.0</v>
      </c>
      <c r="I35" s="24">
        <v>14.0</v>
      </c>
      <c r="J35" s="28">
        <f t="shared" si="1"/>
        <v>74</v>
      </c>
      <c r="K35" s="29">
        <v>0.0063</v>
      </c>
    </row>
    <row r="36">
      <c r="A36" s="24" t="s">
        <v>6</v>
      </c>
      <c r="B36" s="24" t="s">
        <v>35</v>
      </c>
      <c r="C36" s="24" t="s">
        <v>39</v>
      </c>
      <c r="D36" s="24">
        <v>8.0</v>
      </c>
      <c r="E36" s="24">
        <v>13.0</v>
      </c>
      <c r="F36" s="24">
        <v>11.0</v>
      </c>
      <c r="G36" s="24">
        <v>11.0</v>
      </c>
      <c r="H36" s="24">
        <v>10.0</v>
      </c>
      <c r="I36" s="24">
        <v>12.0</v>
      </c>
      <c r="J36" s="28">
        <f t="shared" si="1"/>
        <v>65</v>
      </c>
      <c r="K36" s="29">
        <v>0.0055</v>
      </c>
    </row>
    <row r="37">
      <c r="A37" s="24" t="s">
        <v>6</v>
      </c>
      <c r="B37" s="24" t="s">
        <v>35</v>
      </c>
      <c r="C37" s="24" t="s">
        <v>40</v>
      </c>
      <c r="D37" s="24">
        <v>11.0</v>
      </c>
      <c r="E37" s="24">
        <v>13.0</v>
      </c>
      <c r="F37" s="24">
        <v>11.0</v>
      </c>
      <c r="G37" s="24">
        <v>11.0</v>
      </c>
      <c r="H37" s="24">
        <v>10.0</v>
      </c>
      <c r="I37" s="24">
        <v>12.0</v>
      </c>
      <c r="J37" s="28">
        <f t="shared" si="1"/>
        <v>68</v>
      </c>
      <c r="K37" s="29">
        <v>0.0058</v>
      </c>
    </row>
    <row r="38">
      <c r="A38" s="24" t="s">
        <v>6</v>
      </c>
      <c r="B38" s="24" t="s">
        <v>35</v>
      </c>
      <c r="C38" s="32" t="s">
        <v>120</v>
      </c>
      <c r="D38" s="32">
        <v>0.0</v>
      </c>
      <c r="E38" s="32">
        <v>0.0</v>
      </c>
      <c r="F38" s="32">
        <v>0.0</v>
      </c>
      <c r="G38" s="32">
        <v>0.0</v>
      </c>
      <c r="H38" s="32">
        <v>2.0</v>
      </c>
      <c r="I38" s="32">
        <v>2.0</v>
      </c>
      <c r="J38" s="28">
        <f t="shared" si="1"/>
        <v>4</v>
      </c>
      <c r="K38" s="29">
        <v>5.0E-4</v>
      </c>
    </row>
    <row r="39">
      <c r="A39" s="24" t="s">
        <v>6</v>
      </c>
      <c r="B39" s="24" t="s">
        <v>35</v>
      </c>
      <c r="C39" s="24" t="s">
        <v>47</v>
      </c>
      <c r="D39" s="24">
        <v>7.0</v>
      </c>
      <c r="E39" s="24">
        <v>8.0</v>
      </c>
      <c r="F39" s="24">
        <v>7.0</v>
      </c>
      <c r="G39" s="24">
        <v>7.0</v>
      </c>
      <c r="H39" s="24">
        <v>6.0</v>
      </c>
      <c r="I39" s="24">
        <v>8.0</v>
      </c>
      <c r="J39" s="28">
        <f t="shared" si="1"/>
        <v>43</v>
      </c>
      <c r="K39" s="29">
        <v>0.0035</v>
      </c>
    </row>
    <row r="40">
      <c r="A40" s="24" t="s">
        <v>6</v>
      </c>
      <c r="B40" s="24" t="s">
        <v>35</v>
      </c>
      <c r="C40" s="24" t="s">
        <v>41</v>
      </c>
      <c r="D40" s="24">
        <v>7.0</v>
      </c>
      <c r="E40" s="24">
        <v>12.0</v>
      </c>
      <c r="F40" s="24">
        <v>10.0</v>
      </c>
      <c r="G40" s="24">
        <v>10.0</v>
      </c>
      <c r="H40" s="24">
        <v>10.0</v>
      </c>
      <c r="I40" s="24">
        <v>11.0</v>
      </c>
      <c r="J40" s="28">
        <f t="shared" si="1"/>
        <v>60</v>
      </c>
      <c r="K40" s="29">
        <v>0.0051</v>
      </c>
    </row>
    <row r="41">
      <c r="A41" s="24" t="s">
        <v>6</v>
      </c>
      <c r="B41" s="24" t="s">
        <v>35</v>
      </c>
      <c r="C41" s="24" t="s">
        <v>36</v>
      </c>
      <c r="D41" s="24">
        <v>9.0</v>
      </c>
      <c r="E41" s="24">
        <v>20.0</v>
      </c>
      <c r="F41" s="24">
        <v>17.0</v>
      </c>
      <c r="G41" s="24">
        <v>17.0</v>
      </c>
      <c r="H41" s="24">
        <v>16.0</v>
      </c>
      <c r="I41" s="24">
        <v>19.0</v>
      </c>
      <c r="J41" s="28">
        <f t="shared" si="1"/>
        <v>98</v>
      </c>
      <c r="K41" s="29">
        <v>0.0084</v>
      </c>
    </row>
    <row r="42">
      <c r="A42" s="24" t="s">
        <v>6</v>
      </c>
      <c r="B42" s="24" t="s">
        <v>35</v>
      </c>
      <c r="C42" s="24" t="s">
        <v>45</v>
      </c>
      <c r="D42" s="24">
        <v>6.0</v>
      </c>
      <c r="E42" s="24">
        <v>9.0</v>
      </c>
      <c r="F42" s="24">
        <v>8.0</v>
      </c>
      <c r="G42" s="24">
        <v>8.0</v>
      </c>
      <c r="H42" s="24">
        <v>7.0</v>
      </c>
      <c r="I42" s="24">
        <v>9.0</v>
      </c>
      <c r="J42" s="28">
        <f t="shared" si="1"/>
        <v>47</v>
      </c>
      <c r="K42" s="29">
        <v>0.0038</v>
      </c>
    </row>
    <row r="43">
      <c r="A43" s="24" t="s">
        <v>6</v>
      </c>
      <c r="B43" s="24" t="s">
        <v>35</v>
      </c>
      <c r="C43" s="24" t="s">
        <v>37</v>
      </c>
      <c r="D43" s="24">
        <v>10.0</v>
      </c>
      <c r="E43" s="24">
        <v>16.0</v>
      </c>
      <c r="F43" s="24">
        <v>14.0</v>
      </c>
      <c r="G43" s="24">
        <v>14.0</v>
      </c>
      <c r="H43" s="24">
        <v>13.0</v>
      </c>
      <c r="I43" s="24">
        <v>15.0</v>
      </c>
      <c r="J43" s="28">
        <f t="shared" si="1"/>
        <v>82</v>
      </c>
      <c r="K43" s="29">
        <v>0.0068</v>
      </c>
    </row>
    <row r="44">
      <c r="A44" s="24" t="s">
        <v>6</v>
      </c>
      <c r="B44" s="24" t="s">
        <v>35</v>
      </c>
      <c r="C44" s="24" t="s">
        <v>38</v>
      </c>
      <c r="D44" s="24">
        <v>8.0</v>
      </c>
      <c r="E44" s="24">
        <v>16.0</v>
      </c>
      <c r="F44" s="24">
        <v>14.0</v>
      </c>
      <c r="G44" s="24">
        <v>14.0</v>
      </c>
      <c r="H44" s="24">
        <v>13.0</v>
      </c>
      <c r="I44" s="24">
        <v>15.0</v>
      </c>
      <c r="J44" s="28">
        <f t="shared" si="1"/>
        <v>80</v>
      </c>
      <c r="K44" s="29">
        <v>0.0067</v>
      </c>
    </row>
    <row r="45">
      <c r="A45" s="24" t="s">
        <v>6</v>
      </c>
      <c r="B45" s="24" t="s">
        <v>144</v>
      </c>
      <c r="C45" s="24" t="s">
        <v>145</v>
      </c>
      <c r="D45" s="24">
        <v>7.0</v>
      </c>
      <c r="E45" s="24">
        <v>16.0</v>
      </c>
      <c r="F45" s="24">
        <v>14.0</v>
      </c>
      <c r="G45" s="24">
        <v>14.0</v>
      </c>
      <c r="H45" s="24">
        <v>13.0</v>
      </c>
      <c r="I45" s="24">
        <v>15.0</v>
      </c>
      <c r="J45" s="28">
        <f t="shared" si="1"/>
        <v>79</v>
      </c>
      <c r="K45" s="29">
        <v>0.0067</v>
      </c>
    </row>
    <row r="46">
      <c r="A46" s="24" t="s">
        <v>6</v>
      </c>
      <c r="B46" s="24" t="s">
        <v>144</v>
      </c>
      <c r="C46" s="24" t="s">
        <v>148</v>
      </c>
      <c r="D46" s="24">
        <v>18.0</v>
      </c>
      <c r="E46" s="24">
        <v>30.0</v>
      </c>
      <c r="F46" s="24">
        <v>26.0</v>
      </c>
      <c r="G46" s="24">
        <v>25.0</v>
      </c>
      <c r="H46" s="24">
        <v>23.0</v>
      </c>
      <c r="I46" s="24">
        <v>27.0</v>
      </c>
      <c r="J46" s="28">
        <f t="shared" si="1"/>
        <v>149</v>
      </c>
      <c r="K46" s="29">
        <v>0.0121</v>
      </c>
    </row>
    <row r="47">
      <c r="A47" s="24" t="s">
        <v>6</v>
      </c>
      <c r="B47" s="24" t="s">
        <v>144</v>
      </c>
      <c r="C47" s="24" t="s">
        <v>150</v>
      </c>
      <c r="D47" s="24">
        <v>12.0</v>
      </c>
      <c r="E47" s="24">
        <v>22.0</v>
      </c>
      <c r="F47" s="24">
        <v>19.0</v>
      </c>
      <c r="G47" s="24">
        <v>19.0</v>
      </c>
      <c r="H47" s="24">
        <v>18.0</v>
      </c>
      <c r="I47" s="24">
        <v>21.0</v>
      </c>
      <c r="J47" s="28">
        <f t="shared" si="1"/>
        <v>111</v>
      </c>
      <c r="K47" s="29">
        <v>0.0091</v>
      </c>
    </row>
    <row r="48">
      <c r="A48" s="24" t="s">
        <v>6</v>
      </c>
      <c r="B48" s="24" t="s">
        <v>144</v>
      </c>
      <c r="C48" s="24" t="s">
        <v>154</v>
      </c>
      <c r="D48" s="24">
        <v>7.0</v>
      </c>
      <c r="E48" s="24">
        <v>15.0</v>
      </c>
      <c r="F48" s="24">
        <v>13.0</v>
      </c>
      <c r="G48" s="24">
        <v>13.0</v>
      </c>
      <c r="H48" s="24">
        <v>12.0</v>
      </c>
      <c r="I48" s="24">
        <v>14.0</v>
      </c>
      <c r="J48" s="28">
        <f t="shared" si="1"/>
        <v>74</v>
      </c>
      <c r="K48" s="29">
        <v>0.0063</v>
      </c>
    </row>
    <row r="49">
      <c r="A49" s="24" t="s">
        <v>6</v>
      </c>
      <c r="B49" s="24" t="s">
        <v>144</v>
      </c>
      <c r="C49" s="24" t="s">
        <v>158</v>
      </c>
      <c r="D49" s="24">
        <v>10.0</v>
      </c>
      <c r="E49" s="24">
        <v>12.0</v>
      </c>
      <c r="F49" s="24">
        <v>10.0</v>
      </c>
      <c r="G49" s="24">
        <v>10.0</v>
      </c>
      <c r="H49" s="24">
        <v>10.0</v>
      </c>
      <c r="I49" s="24">
        <v>11.0</v>
      </c>
      <c r="J49" s="28">
        <f t="shared" si="1"/>
        <v>63</v>
      </c>
      <c r="K49" s="29">
        <v>0.0052</v>
      </c>
    </row>
    <row r="50">
      <c r="A50" s="24" t="s">
        <v>6</v>
      </c>
      <c r="B50" s="24" t="s">
        <v>144</v>
      </c>
      <c r="C50" s="24" t="s">
        <v>161</v>
      </c>
      <c r="D50" s="24">
        <v>30.0</v>
      </c>
      <c r="E50" s="24">
        <v>35.0</v>
      </c>
      <c r="F50" s="24">
        <v>30.0</v>
      </c>
      <c r="G50" s="24">
        <v>30.0</v>
      </c>
      <c r="H50" s="24">
        <v>26.0</v>
      </c>
      <c r="I50" s="24">
        <v>31.0</v>
      </c>
      <c r="J50" s="28">
        <f t="shared" si="1"/>
        <v>182</v>
      </c>
      <c r="K50" s="29">
        <v>0.0142</v>
      </c>
    </row>
    <row r="51">
      <c r="A51" s="24" t="s">
        <v>6</v>
      </c>
      <c r="B51" s="24" t="s">
        <v>144</v>
      </c>
      <c r="C51" s="24" t="s">
        <v>164</v>
      </c>
      <c r="D51" s="24">
        <v>8.0</v>
      </c>
      <c r="E51" s="24">
        <v>30.0</v>
      </c>
      <c r="F51" s="24">
        <v>26.0</v>
      </c>
      <c r="G51" s="24">
        <v>26.0</v>
      </c>
      <c r="H51" s="24">
        <v>24.0</v>
      </c>
      <c r="I51" s="24">
        <v>29.0</v>
      </c>
      <c r="J51" s="28">
        <f t="shared" si="1"/>
        <v>143</v>
      </c>
      <c r="K51" s="29">
        <v>0.0121</v>
      </c>
    </row>
    <row r="52">
      <c r="A52" s="24" t="s">
        <v>6</v>
      </c>
      <c r="B52" s="24" t="s">
        <v>144</v>
      </c>
      <c r="C52" s="24" t="s">
        <v>167</v>
      </c>
      <c r="D52" s="24">
        <v>15.0</v>
      </c>
      <c r="E52" s="24">
        <v>11.0</v>
      </c>
      <c r="F52" s="24">
        <v>10.0</v>
      </c>
      <c r="G52" s="24">
        <v>10.0</v>
      </c>
      <c r="H52" s="24">
        <v>9.0</v>
      </c>
      <c r="I52" s="24">
        <v>10.0</v>
      </c>
      <c r="J52" s="28">
        <f t="shared" si="1"/>
        <v>65</v>
      </c>
      <c r="K52" s="29">
        <v>0.0049</v>
      </c>
    </row>
    <row r="53">
      <c r="A53" s="24" t="s">
        <v>50</v>
      </c>
      <c r="B53" s="24" t="s">
        <v>50</v>
      </c>
      <c r="C53" s="24" t="s">
        <v>58</v>
      </c>
      <c r="D53" s="24">
        <v>6.0</v>
      </c>
      <c r="E53" s="24">
        <v>15.0</v>
      </c>
      <c r="F53" s="24">
        <v>13.0</v>
      </c>
      <c r="G53" s="24">
        <v>13.0</v>
      </c>
      <c r="H53" s="24">
        <v>12.0</v>
      </c>
      <c r="I53" s="24">
        <v>14.0</v>
      </c>
      <c r="J53" s="28">
        <f t="shared" si="1"/>
        <v>73</v>
      </c>
      <c r="K53" s="29">
        <v>0.0063</v>
      </c>
    </row>
    <row r="54">
      <c r="A54" s="24" t="s">
        <v>50</v>
      </c>
      <c r="B54" s="24" t="s">
        <v>50</v>
      </c>
      <c r="C54" s="24" t="s">
        <v>66</v>
      </c>
      <c r="D54" s="24">
        <v>7.0</v>
      </c>
      <c r="E54" s="24">
        <v>15.0</v>
      </c>
      <c r="F54" s="24">
        <v>13.0</v>
      </c>
      <c r="G54" s="24">
        <v>13.0</v>
      </c>
      <c r="H54" s="24">
        <v>12.0</v>
      </c>
      <c r="I54" s="24">
        <v>14.0</v>
      </c>
      <c r="J54" s="28">
        <f t="shared" si="1"/>
        <v>74</v>
      </c>
      <c r="K54" s="29">
        <v>0.0063</v>
      </c>
    </row>
    <row r="55">
      <c r="A55" s="24" t="s">
        <v>50</v>
      </c>
      <c r="B55" s="24" t="s">
        <v>50</v>
      </c>
      <c r="C55" s="24" t="s">
        <v>53</v>
      </c>
      <c r="D55" s="24">
        <v>9.0</v>
      </c>
      <c r="E55" s="24">
        <v>23.0</v>
      </c>
      <c r="F55" s="24">
        <v>20.0</v>
      </c>
      <c r="G55" s="24">
        <v>20.0</v>
      </c>
      <c r="H55" s="24">
        <v>18.0</v>
      </c>
      <c r="I55" s="24">
        <v>22.0</v>
      </c>
      <c r="J55" s="28">
        <f t="shared" si="1"/>
        <v>112</v>
      </c>
      <c r="K55" s="29">
        <v>0.0096</v>
      </c>
    </row>
    <row r="56">
      <c r="A56" s="24" t="s">
        <v>50</v>
      </c>
      <c r="B56" s="24" t="s">
        <v>50</v>
      </c>
      <c r="C56" s="24" t="s">
        <v>55</v>
      </c>
      <c r="D56" s="24">
        <v>7.0</v>
      </c>
      <c r="E56" s="24">
        <v>13.0</v>
      </c>
      <c r="F56" s="24">
        <v>11.0</v>
      </c>
      <c r="G56" s="24">
        <v>11.0</v>
      </c>
      <c r="H56" s="24">
        <v>10.0</v>
      </c>
      <c r="I56" s="24">
        <v>12.0</v>
      </c>
      <c r="J56" s="28">
        <f t="shared" si="1"/>
        <v>64</v>
      </c>
      <c r="K56" s="29">
        <v>0.0055</v>
      </c>
    </row>
    <row r="57">
      <c r="A57" s="24" t="s">
        <v>50</v>
      </c>
      <c r="B57" s="24" t="s">
        <v>50</v>
      </c>
      <c r="C57" s="24" t="s">
        <v>63</v>
      </c>
      <c r="D57" s="24">
        <v>13.0</v>
      </c>
      <c r="E57" s="24">
        <v>20.0</v>
      </c>
      <c r="F57" s="24">
        <v>17.0</v>
      </c>
      <c r="G57" s="24">
        <v>17.0</v>
      </c>
      <c r="H57" s="24">
        <v>16.0</v>
      </c>
      <c r="I57" s="24">
        <v>19.0</v>
      </c>
      <c r="J57" s="28">
        <f t="shared" si="1"/>
        <v>102</v>
      </c>
      <c r="K57" s="29">
        <v>0.0085</v>
      </c>
    </row>
    <row r="58">
      <c r="A58" s="24" t="s">
        <v>50</v>
      </c>
      <c r="B58" s="24" t="s">
        <v>50</v>
      </c>
      <c r="C58" s="24" t="s">
        <v>52</v>
      </c>
      <c r="D58" s="24">
        <v>9.0</v>
      </c>
      <c r="E58" s="24">
        <v>19.0</v>
      </c>
      <c r="F58" s="24">
        <v>17.0</v>
      </c>
      <c r="G58" s="24">
        <v>17.0</v>
      </c>
      <c r="H58" s="24">
        <v>15.0</v>
      </c>
      <c r="I58" s="24">
        <v>18.0</v>
      </c>
      <c r="J58" s="28">
        <f t="shared" si="1"/>
        <v>95</v>
      </c>
      <c r="K58" s="29">
        <v>0.008</v>
      </c>
    </row>
    <row r="59">
      <c r="A59" s="24" t="s">
        <v>50</v>
      </c>
      <c r="B59" s="24" t="s">
        <v>50</v>
      </c>
      <c r="C59" s="24" t="s">
        <v>54</v>
      </c>
      <c r="D59" s="24">
        <v>7.0</v>
      </c>
      <c r="E59" s="24">
        <v>18.0</v>
      </c>
      <c r="F59" s="24">
        <v>16.0</v>
      </c>
      <c r="G59" s="24">
        <v>16.0</v>
      </c>
      <c r="H59" s="24">
        <v>14.0</v>
      </c>
      <c r="I59" s="24">
        <v>17.0</v>
      </c>
      <c r="J59" s="28">
        <f t="shared" si="1"/>
        <v>88</v>
      </c>
      <c r="K59" s="29">
        <v>0.0075</v>
      </c>
    </row>
    <row r="60">
      <c r="A60" s="24" t="s">
        <v>50</v>
      </c>
      <c r="B60" s="24" t="s">
        <v>50</v>
      </c>
      <c r="C60" s="24" t="s">
        <v>57</v>
      </c>
      <c r="D60" s="24">
        <v>7.0</v>
      </c>
      <c r="E60" s="24">
        <v>18.0</v>
      </c>
      <c r="F60" s="24">
        <v>16.0</v>
      </c>
      <c r="G60" s="24">
        <v>16.0</v>
      </c>
      <c r="H60" s="24">
        <v>14.0</v>
      </c>
      <c r="I60" s="24">
        <v>17.0</v>
      </c>
      <c r="J60" s="28">
        <f t="shared" si="1"/>
        <v>88</v>
      </c>
      <c r="K60" s="29">
        <v>0.0075</v>
      </c>
    </row>
    <row r="61">
      <c r="A61" s="24" t="s">
        <v>50</v>
      </c>
      <c r="B61" s="24" t="s">
        <v>50</v>
      </c>
      <c r="C61" s="24" t="s">
        <v>56</v>
      </c>
      <c r="D61" s="24">
        <v>6.0</v>
      </c>
      <c r="E61" s="24">
        <v>18.0</v>
      </c>
      <c r="F61" s="24">
        <v>16.0</v>
      </c>
      <c r="G61" s="24">
        <v>16.0</v>
      </c>
      <c r="H61" s="24">
        <v>14.0</v>
      </c>
      <c r="I61" s="24">
        <v>17.0</v>
      </c>
      <c r="J61" s="28">
        <f t="shared" si="1"/>
        <v>87</v>
      </c>
      <c r="K61" s="29">
        <v>0.0075</v>
      </c>
    </row>
    <row r="62">
      <c r="A62" s="24" t="s">
        <v>50</v>
      </c>
      <c r="B62" s="24" t="s">
        <v>50</v>
      </c>
      <c r="C62" s="24" t="s">
        <v>65</v>
      </c>
      <c r="D62" s="24">
        <v>8.0</v>
      </c>
      <c r="E62" s="24">
        <v>18.0</v>
      </c>
      <c r="F62" s="24">
        <v>16.0</v>
      </c>
      <c r="G62" s="24">
        <v>16.0</v>
      </c>
      <c r="H62" s="24">
        <v>14.0</v>
      </c>
      <c r="I62" s="24">
        <v>17.0</v>
      </c>
      <c r="J62" s="28">
        <f t="shared" si="1"/>
        <v>89</v>
      </c>
      <c r="K62" s="29">
        <v>0.0075</v>
      </c>
    </row>
    <row r="63">
      <c r="A63" s="24" t="s">
        <v>50</v>
      </c>
      <c r="B63" s="24" t="s">
        <v>171</v>
      </c>
      <c r="C63" s="24" t="s">
        <v>69</v>
      </c>
      <c r="D63" s="24">
        <v>10.0</v>
      </c>
      <c r="E63" s="24">
        <v>23.0</v>
      </c>
      <c r="F63" s="24">
        <v>20.0</v>
      </c>
      <c r="G63" s="24">
        <v>20.0</v>
      </c>
      <c r="H63" s="24">
        <v>18.0</v>
      </c>
      <c r="I63" s="24">
        <v>22.0</v>
      </c>
      <c r="J63" s="28">
        <f t="shared" si="1"/>
        <v>113</v>
      </c>
      <c r="K63" s="29">
        <v>0.0104</v>
      </c>
    </row>
    <row r="64">
      <c r="A64" s="24" t="s">
        <v>50</v>
      </c>
      <c r="B64" s="24" t="s">
        <v>171</v>
      </c>
      <c r="C64" s="24" t="s">
        <v>70</v>
      </c>
      <c r="D64" s="24">
        <v>8.0</v>
      </c>
      <c r="E64" s="24">
        <v>20.0</v>
      </c>
      <c r="F64" s="24">
        <v>17.0</v>
      </c>
      <c r="G64" s="24">
        <v>17.0</v>
      </c>
      <c r="H64" s="24">
        <v>16.0</v>
      </c>
      <c r="I64" s="24">
        <v>19.0</v>
      </c>
      <c r="J64" s="28">
        <f t="shared" si="1"/>
        <v>97</v>
      </c>
      <c r="K64" s="29">
        <v>0.0092</v>
      </c>
    </row>
    <row r="65">
      <c r="A65" s="24" t="s">
        <v>50</v>
      </c>
      <c r="B65" s="24" t="s">
        <v>171</v>
      </c>
      <c r="C65" s="32" t="s">
        <v>75</v>
      </c>
      <c r="D65" s="32">
        <v>0.0</v>
      </c>
      <c r="E65" s="32">
        <v>0.0</v>
      </c>
      <c r="F65" s="32">
        <v>0.0</v>
      </c>
      <c r="G65" s="32">
        <v>2.0</v>
      </c>
      <c r="H65" s="32">
        <v>3.0</v>
      </c>
      <c r="I65" s="32">
        <v>2.0</v>
      </c>
      <c r="J65" s="28">
        <f t="shared" si="1"/>
        <v>7</v>
      </c>
      <c r="K65" s="29">
        <v>8.0E-4</v>
      </c>
    </row>
    <row r="66">
      <c r="A66" s="24" t="s">
        <v>50</v>
      </c>
      <c r="B66" s="24" t="s">
        <v>171</v>
      </c>
      <c r="C66" s="24" t="s">
        <v>74</v>
      </c>
      <c r="D66" s="24">
        <v>6.0</v>
      </c>
      <c r="E66" s="24">
        <v>11.0</v>
      </c>
      <c r="F66" s="24">
        <v>9.0</v>
      </c>
      <c r="G66" s="24">
        <v>9.0</v>
      </c>
      <c r="H66" s="24">
        <v>9.0</v>
      </c>
      <c r="I66" s="24">
        <v>10.0</v>
      </c>
      <c r="J66" s="28">
        <f t="shared" si="1"/>
        <v>54</v>
      </c>
      <c r="K66" s="29">
        <v>0.0046</v>
      </c>
    </row>
    <row r="67">
      <c r="A67" s="24" t="s">
        <v>50</v>
      </c>
      <c r="B67" s="24" t="s">
        <v>171</v>
      </c>
      <c r="C67" s="24" t="s">
        <v>71</v>
      </c>
      <c r="D67" s="24">
        <v>8.0</v>
      </c>
      <c r="E67" s="24">
        <v>20.0</v>
      </c>
      <c r="F67" s="24">
        <v>17.0</v>
      </c>
      <c r="G67" s="24">
        <v>17.0</v>
      </c>
      <c r="H67" s="24">
        <v>16.0</v>
      </c>
      <c r="I67" s="24">
        <v>19.0</v>
      </c>
      <c r="J67" s="28">
        <f t="shared" si="1"/>
        <v>97</v>
      </c>
      <c r="K67" s="29">
        <v>0.0083</v>
      </c>
    </row>
    <row r="68">
      <c r="A68" s="24" t="s">
        <v>50</v>
      </c>
      <c r="B68" s="24" t="s">
        <v>171</v>
      </c>
      <c r="C68" s="24" t="s">
        <v>61</v>
      </c>
      <c r="D68" s="24">
        <v>19.0</v>
      </c>
      <c r="E68" s="24">
        <v>30.0</v>
      </c>
      <c r="F68" s="24">
        <v>26.0</v>
      </c>
      <c r="G68" s="24">
        <v>26.0</v>
      </c>
      <c r="H68" s="24">
        <v>24.0</v>
      </c>
      <c r="I68" s="24">
        <v>29.0</v>
      </c>
      <c r="J68" s="28">
        <f t="shared" si="1"/>
        <v>154</v>
      </c>
      <c r="K68" s="29">
        <v>0.0129</v>
      </c>
    </row>
    <row r="69">
      <c r="A69" s="24" t="s">
        <v>50</v>
      </c>
      <c r="B69" s="24" t="s">
        <v>171</v>
      </c>
      <c r="C69" s="32" t="s">
        <v>67</v>
      </c>
      <c r="D69" s="32">
        <v>0.0</v>
      </c>
      <c r="E69" s="32">
        <v>0.0</v>
      </c>
      <c r="F69" s="32">
        <v>0.0</v>
      </c>
      <c r="G69" s="32">
        <v>2.0</v>
      </c>
      <c r="H69" s="32">
        <v>1.0</v>
      </c>
      <c r="I69" s="32">
        <v>3.0</v>
      </c>
      <c r="J69" s="28">
        <f t="shared" si="1"/>
        <v>6</v>
      </c>
      <c r="K69" s="29">
        <v>7.0E-4</v>
      </c>
    </row>
    <row r="70">
      <c r="A70" s="24" t="s">
        <v>50</v>
      </c>
      <c r="B70" s="24" t="s">
        <v>171</v>
      </c>
      <c r="C70" s="24" t="s">
        <v>72</v>
      </c>
      <c r="D70" s="24">
        <v>8.0</v>
      </c>
      <c r="E70" s="24">
        <v>15.0</v>
      </c>
      <c r="F70" s="24">
        <v>13.0</v>
      </c>
      <c r="G70" s="24">
        <v>13.0</v>
      </c>
      <c r="H70" s="24">
        <v>12.0</v>
      </c>
      <c r="I70" s="24">
        <v>14.0</v>
      </c>
      <c r="J70" s="28">
        <f t="shared" si="1"/>
        <v>75</v>
      </c>
      <c r="K70" s="29">
        <v>0.0063</v>
      </c>
    </row>
    <row r="71">
      <c r="A71" s="24" t="s">
        <v>50</v>
      </c>
      <c r="B71" s="24" t="s">
        <v>171</v>
      </c>
      <c r="C71" s="24" t="s">
        <v>62</v>
      </c>
      <c r="D71" s="24">
        <v>10.0</v>
      </c>
      <c r="E71" s="24">
        <v>25.0</v>
      </c>
      <c r="F71" s="24">
        <v>22.0</v>
      </c>
      <c r="G71" s="24">
        <v>22.0</v>
      </c>
      <c r="H71" s="24">
        <v>20.0</v>
      </c>
      <c r="I71" s="24">
        <v>24.0</v>
      </c>
      <c r="J71" s="28">
        <f t="shared" si="1"/>
        <v>123</v>
      </c>
      <c r="K71" s="29">
        <v>0.0106</v>
      </c>
    </row>
    <row r="72">
      <c r="A72" s="24" t="s">
        <v>50</v>
      </c>
      <c r="B72" s="24" t="s">
        <v>171</v>
      </c>
      <c r="C72" s="24" t="s">
        <v>51</v>
      </c>
      <c r="D72" s="24">
        <v>6.0</v>
      </c>
      <c r="E72" s="24">
        <v>26.0</v>
      </c>
      <c r="F72" s="24">
        <v>23.0</v>
      </c>
      <c r="G72" s="24">
        <v>23.0</v>
      </c>
      <c r="H72" s="24">
        <v>21.0</v>
      </c>
      <c r="I72" s="24">
        <v>25.0</v>
      </c>
      <c r="J72" s="28">
        <f t="shared" si="1"/>
        <v>124</v>
      </c>
      <c r="K72" s="29">
        <v>0.0111</v>
      </c>
    </row>
    <row r="73">
      <c r="A73" s="24" t="s">
        <v>76</v>
      </c>
      <c r="B73" s="24" t="s">
        <v>77</v>
      </c>
      <c r="C73" s="24" t="s">
        <v>79</v>
      </c>
      <c r="D73" s="24">
        <v>8.0</v>
      </c>
      <c r="E73" s="24">
        <v>24.0</v>
      </c>
      <c r="F73" s="24">
        <v>21.0</v>
      </c>
      <c r="G73" s="24">
        <v>21.0</v>
      </c>
      <c r="H73" s="24">
        <v>19.0</v>
      </c>
      <c r="I73" s="24">
        <v>23.0</v>
      </c>
      <c r="J73" s="28">
        <f t="shared" si="1"/>
        <v>116</v>
      </c>
      <c r="K73" s="29">
        <v>0.01</v>
      </c>
    </row>
    <row r="74">
      <c r="A74" s="24" t="s">
        <v>76</v>
      </c>
      <c r="B74" s="24" t="s">
        <v>77</v>
      </c>
      <c r="C74" s="32" t="s">
        <v>172</v>
      </c>
      <c r="D74" s="32">
        <v>0.0</v>
      </c>
      <c r="E74" s="32">
        <v>0.0</v>
      </c>
      <c r="F74" s="32">
        <v>0.0</v>
      </c>
      <c r="G74" s="32">
        <v>0.0</v>
      </c>
      <c r="H74" s="32">
        <v>2.0</v>
      </c>
      <c r="I74" s="32">
        <v>1.0</v>
      </c>
      <c r="J74" s="28">
        <f t="shared" si="1"/>
        <v>3</v>
      </c>
      <c r="K74" s="29">
        <v>4.0E-4</v>
      </c>
    </row>
    <row r="75">
      <c r="A75" s="24" t="s">
        <v>76</v>
      </c>
      <c r="B75" s="24" t="s">
        <v>77</v>
      </c>
      <c r="C75" s="24" t="s">
        <v>84</v>
      </c>
      <c r="D75" s="24">
        <v>10.0</v>
      </c>
      <c r="E75" s="24">
        <v>10.0</v>
      </c>
      <c r="F75" s="24">
        <v>9.0</v>
      </c>
      <c r="G75" s="24">
        <v>9.0</v>
      </c>
      <c r="H75" s="24">
        <v>8.0</v>
      </c>
      <c r="I75" s="24">
        <v>10.0</v>
      </c>
      <c r="J75" s="28">
        <f t="shared" si="1"/>
        <v>56</v>
      </c>
      <c r="K75" s="29">
        <v>0.0044</v>
      </c>
    </row>
    <row r="76">
      <c r="A76" s="24" t="s">
        <v>76</v>
      </c>
      <c r="B76" s="24" t="s">
        <v>77</v>
      </c>
      <c r="C76" s="32" t="s">
        <v>173</v>
      </c>
      <c r="D76" s="32">
        <v>0.0</v>
      </c>
      <c r="E76" s="32">
        <v>0.0</v>
      </c>
      <c r="F76" s="32">
        <v>0.0</v>
      </c>
      <c r="G76" s="32">
        <v>0.0</v>
      </c>
      <c r="H76" s="32">
        <v>0.0</v>
      </c>
      <c r="I76" s="32">
        <v>0.0</v>
      </c>
      <c r="J76" s="28">
        <f t="shared" si="1"/>
        <v>0</v>
      </c>
      <c r="K76" s="29">
        <v>1.0E-4</v>
      </c>
    </row>
    <row r="77">
      <c r="A77" s="24" t="s">
        <v>76</v>
      </c>
      <c r="B77" s="24" t="s">
        <v>77</v>
      </c>
      <c r="C77" s="24" t="s">
        <v>83</v>
      </c>
      <c r="D77" s="24">
        <v>8.0</v>
      </c>
      <c r="E77" s="24">
        <v>12.0</v>
      </c>
      <c r="F77" s="24">
        <v>10.0</v>
      </c>
      <c r="G77" s="24">
        <v>10.0</v>
      </c>
      <c r="H77" s="24">
        <v>10.0</v>
      </c>
      <c r="I77" s="24">
        <v>11.0</v>
      </c>
      <c r="J77" s="28">
        <f t="shared" si="1"/>
        <v>61</v>
      </c>
      <c r="K77" s="29">
        <v>0.0051</v>
      </c>
    </row>
    <row r="78">
      <c r="A78" s="24" t="s">
        <v>76</v>
      </c>
      <c r="B78" s="24" t="s">
        <v>77</v>
      </c>
      <c r="C78" s="24" t="s">
        <v>86</v>
      </c>
      <c r="D78" s="24">
        <v>8.0</v>
      </c>
      <c r="E78" s="24">
        <v>10.0</v>
      </c>
      <c r="F78" s="24">
        <v>9.0</v>
      </c>
      <c r="G78" s="24">
        <v>9.0</v>
      </c>
      <c r="H78" s="24">
        <v>8.0</v>
      </c>
      <c r="I78" s="24">
        <v>10.0</v>
      </c>
      <c r="J78" s="28">
        <f t="shared" si="1"/>
        <v>54</v>
      </c>
      <c r="K78" s="29">
        <v>0.0043</v>
      </c>
    </row>
    <row r="79">
      <c r="A79" s="24" t="s">
        <v>76</v>
      </c>
      <c r="B79" s="24" t="s">
        <v>77</v>
      </c>
      <c r="C79" s="24" t="s">
        <v>78</v>
      </c>
      <c r="D79" s="24">
        <v>8.0</v>
      </c>
      <c r="E79" s="24">
        <v>28.0</v>
      </c>
      <c r="F79" s="24">
        <v>24.0</v>
      </c>
      <c r="G79" s="24">
        <v>24.0</v>
      </c>
      <c r="H79" s="24">
        <v>22.0</v>
      </c>
      <c r="I79" s="24">
        <v>27.0</v>
      </c>
      <c r="J79" s="28">
        <f t="shared" si="1"/>
        <v>133</v>
      </c>
      <c r="K79" s="29">
        <v>0.0114</v>
      </c>
    </row>
    <row r="80">
      <c r="A80" s="24" t="s">
        <v>76</v>
      </c>
      <c r="B80" s="24" t="s">
        <v>77</v>
      </c>
      <c r="C80" s="24" t="s">
        <v>85</v>
      </c>
      <c r="D80" s="24">
        <v>13.0</v>
      </c>
      <c r="E80" s="24">
        <v>12.0</v>
      </c>
      <c r="F80" s="24">
        <v>10.0</v>
      </c>
      <c r="G80" s="24">
        <v>10.0</v>
      </c>
      <c r="H80" s="24">
        <v>10.0</v>
      </c>
      <c r="I80" s="24">
        <v>11.0</v>
      </c>
      <c r="J80" s="28">
        <f t="shared" si="1"/>
        <v>66</v>
      </c>
      <c r="K80" s="29">
        <v>0.0053</v>
      </c>
    </row>
    <row r="81">
      <c r="A81" s="24" t="s">
        <v>76</v>
      </c>
      <c r="B81" s="24" t="s">
        <v>77</v>
      </c>
      <c r="C81" s="32" t="s">
        <v>174</v>
      </c>
      <c r="D81" s="32">
        <v>0.0</v>
      </c>
      <c r="E81" s="32">
        <v>0.0</v>
      </c>
      <c r="F81" s="32">
        <v>0.0</v>
      </c>
      <c r="G81" s="32">
        <v>0.0</v>
      </c>
      <c r="H81" s="32">
        <v>0.0</v>
      </c>
      <c r="I81" s="32">
        <v>0.0</v>
      </c>
      <c r="J81" s="28">
        <f t="shared" si="1"/>
        <v>0</v>
      </c>
      <c r="K81" s="29">
        <v>1.0E-4</v>
      </c>
    </row>
    <row r="82">
      <c r="A82" s="24" t="s">
        <v>76</v>
      </c>
      <c r="B82" s="24" t="s">
        <v>77</v>
      </c>
      <c r="C82" s="24" t="s">
        <v>81</v>
      </c>
      <c r="D82" s="24">
        <v>8.0</v>
      </c>
      <c r="E82" s="24">
        <v>16.0</v>
      </c>
      <c r="F82" s="24">
        <v>14.0</v>
      </c>
      <c r="G82" s="24">
        <v>14.0</v>
      </c>
      <c r="H82" s="24">
        <v>13.0</v>
      </c>
      <c r="I82" s="24">
        <v>15.0</v>
      </c>
      <c r="J82" s="28">
        <f t="shared" si="1"/>
        <v>80</v>
      </c>
      <c r="K82" s="29">
        <v>0.0067</v>
      </c>
    </row>
    <row r="83">
      <c r="A83" s="24" t="s">
        <v>76</v>
      </c>
      <c r="B83" s="24" t="s">
        <v>77</v>
      </c>
      <c r="C83" s="32" t="s">
        <v>89</v>
      </c>
      <c r="D83" s="32">
        <v>0.0</v>
      </c>
      <c r="E83" s="32">
        <v>0.0</v>
      </c>
      <c r="F83" s="32">
        <v>0.0</v>
      </c>
      <c r="G83" s="32">
        <v>2.0</v>
      </c>
      <c r="H83" s="32">
        <v>1.0</v>
      </c>
      <c r="I83" s="32">
        <v>5.0</v>
      </c>
      <c r="J83" s="28">
        <f t="shared" si="1"/>
        <v>8</v>
      </c>
      <c r="K83" s="29">
        <v>0.002</v>
      </c>
    </row>
    <row r="84">
      <c r="A84" s="24" t="s">
        <v>76</v>
      </c>
      <c r="B84" s="24" t="s">
        <v>77</v>
      </c>
      <c r="C84" s="24" t="s">
        <v>87</v>
      </c>
      <c r="D84" s="24">
        <v>6.0</v>
      </c>
      <c r="E84" s="24">
        <v>11.0</v>
      </c>
      <c r="F84" s="24">
        <v>9.0</v>
      </c>
      <c r="G84" s="24">
        <v>9.0</v>
      </c>
      <c r="H84" s="24">
        <v>9.0</v>
      </c>
      <c r="I84" s="24">
        <v>10.0</v>
      </c>
      <c r="J84" s="28">
        <f t="shared" si="1"/>
        <v>54</v>
      </c>
      <c r="K84" s="29">
        <v>0.0046</v>
      </c>
    </row>
    <row r="85">
      <c r="A85" s="24" t="s">
        <v>76</v>
      </c>
      <c r="B85" s="24" t="s">
        <v>77</v>
      </c>
      <c r="C85" s="24" t="s">
        <v>82</v>
      </c>
      <c r="D85" s="24">
        <v>8.0</v>
      </c>
      <c r="E85" s="24">
        <v>16.0</v>
      </c>
      <c r="F85" s="24">
        <v>14.0</v>
      </c>
      <c r="G85" s="24">
        <v>14.0</v>
      </c>
      <c r="H85" s="24">
        <v>13.0</v>
      </c>
      <c r="I85" s="24">
        <v>15.0</v>
      </c>
      <c r="J85" s="28">
        <f t="shared" si="1"/>
        <v>80</v>
      </c>
      <c r="K85" s="29">
        <v>0.0067</v>
      </c>
    </row>
    <row r="86">
      <c r="A86" s="24" t="s">
        <v>76</v>
      </c>
      <c r="B86" s="24" t="s">
        <v>77</v>
      </c>
      <c r="C86" s="32" t="s">
        <v>175</v>
      </c>
      <c r="D86" s="32">
        <v>0.0</v>
      </c>
      <c r="E86" s="32">
        <v>0.0</v>
      </c>
      <c r="F86" s="32">
        <v>0.0</v>
      </c>
      <c r="G86" s="32">
        <v>0.0</v>
      </c>
      <c r="H86" s="32">
        <v>0.0</v>
      </c>
      <c r="I86" s="32">
        <v>1.0</v>
      </c>
      <c r="J86" s="28">
        <f t="shared" si="1"/>
        <v>1</v>
      </c>
      <c r="K86" s="29">
        <v>5.0E-4</v>
      </c>
    </row>
    <row r="87">
      <c r="A87" s="24" t="s">
        <v>76</v>
      </c>
      <c r="B87" s="24" t="s">
        <v>77</v>
      </c>
      <c r="C87" s="24" t="s">
        <v>88</v>
      </c>
      <c r="D87" s="24">
        <v>6.0</v>
      </c>
      <c r="E87" s="24">
        <v>9.0</v>
      </c>
      <c r="F87" s="24">
        <v>8.0</v>
      </c>
      <c r="G87" s="24">
        <v>8.0</v>
      </c>
      <c r="H87" s="24">
        <v>7.0</v>
      </c>
      <c r="I87" s="24">
        <v>9.0</v>
      </c>
      <c r="J87" s="28">
        <f t="shared" si="1"/>
        <v>47</v>
      </c>
      <c r="K87" s="29">
        <v>0.0038</v>
      </c>
    </row>
    <row r="88">
      <c r="A88" s="24" t="s">
        <v>76</v>
      </c>
      <c r="B88" s="24" t="s">
        <v>90</v>
      </c>
      <c r="C88" s="24" t="s">
        <v>91</v>
      </c>
      <c r="D88" s="24">
        <v>6.0</v>
      </c>
      <c r="E88" s="24">
        <v>16.0</v>
      </c>
      <c r="F88" s="24">
        <v>14.0</v>
      </c>
      <c r="G88" s="24">
        <v>14.0</v>
      </c>
      <c r="H88" s="24">
        <v>13.0</v>
      </c>
      <c r="I88" s="24">
        <v>15.0</v>
      </c>
      <c r="J88" s="28">
        <f t="shared" si="1"/>
        <v>78</v>
      </c>
      <c r="K88" s="29">
        <v>0.0067</v>
      </c>
    </row>
    <row r="89">
      <c r="A89" s="24" t="s">
        <v>76</v>
      </c>
      <c r="B89" s="24" t="s">
        <v>90</v>
      </c>
      <c r="C89" s="24" t="s">
        <v>95</v>
      </c>
      <c r="D89" s="24">
        <v>7.0</v>
      </c>
      <c r="E89" s="24">
        <v>15.0</v>
      </c>
      <c r="F89" s="24">
        <v>13.0</v>
      </c>
      <c r="G89" s="24">
        <v>13.0</v>
      </c>
      <c r="H89" s="24">
        <v>12.0</v>
      </c>
      <c r="I89" s="24">
        <v>14.0</v>
      </c>
      <c r="J89" s="28">
        <f t="shared" si="1"/>
        <v>74</v>
      </c>
      <c r="K89" s="29">
        <v>0.0063</v>
      </c>
    </row>
    <row r="90">
      <c r="A90" s="24" t="s">
        <v>76</v>
      </c>
      <c r="B90" s="24" t="s">
        <v>90</v>
      </c>
      <c r="C90" s="32" t="s">
        <v>176</v>
      </c>
      <c r="D90" s="32">
        <v>0.0</v>
      </c>
      <c r="E90" s="32">
        <v>0.0</v>
      </c>
      <c r="F90" s="32">
        <v>0.0</v>
      </c>
      <c r="G90" s="32">
        <v>0.0</v>
      </c>
      <c r="H90" s="32">
        <v>0.0</v>
      </c>
      <c r="I90" s="32">
        <v>0.0</v>
      </c>
      <c r="J90" s="28">
        <f t="shared" si="1"/>
        <v>0</v>
      </c>
      <c r="K90" s="29">
        <v>1.0E-4</v>
      </c>
    </row>
    <row r="91">
      <c r="A91" s="24" t="s">
        <v>76</v>
      </c>
      <c r="B91" s="24" t="s">
        <v>90</v>
      </c>
      <c r="C91" s="24" t="s">
        <v>98</v>
      </c>
      <c r="D91" s="24">
        <v>9.0</v>
      </c>
      <c r="E91" s="24">
        <v>23.0</v>
      </c>
      <c r="F91" s="24">
        <v>20.0</v>
      </c>
      <c r="G91" s="24">
        <v>20.0</v>
      </c>
      <c r="H91" s="24">
        <v>18.0</v>
      </c>
      <c r="I91" s="24">
        <v>22.0</v>
      </c>
      <c r="J91" s="28">
        <f t="shared" si="1"/>
        <v>112</v>
      </c>
      <c r="K91" s="29">
        <v>0.0095</v>
      </c>
    </row>
    <row r="92">
      <c r="A92" s="24" t="s">
        <v>76</v>
      </c>
      <c r="B92" s="24" t="s">
        <v>90</v>
      </c>
      <c r="C92" s="32" t="s">
        <v>101</v>
      </c>
      <c r="D92" s="32">
        <v>0.0</v>
      </c>
      <c r="E92" s="32">
        <v>0.0</v>
      </c>
      <c r="F92" s="32">
        <v>0.0</v>
      </c>
      <c r="G92" s="32">
        <v>0.0</v>
      </c>
      <c r="H92" s="32">
        <v>0.0</v>
      </c>
      <c r="I92" s="32">
        <v>0.0</v>
      </c>
      <c r="J92" s="28">
        <f t="shared" si="1"/>
        <v>0</v>
      </c>
      <c r="K92" s="29">
        <v>3.0E-4</v>
      </c>
    </row>
    <row r="93">
      <c r="A93" s="24" t="s">
        <v>76</v>
      </c>
      <c r="B93" s="24" t="s">
        <v>90</v>
      </c>
      <c r="C93" s="32" t="s">
        <v>177</v>
      </c>
      <c r="D93" s="32">
        <v>0.0</v>
      </c>
      <c r="E93" s="32">
        <v>0.0</v>
      </c>
      <c r="F93" s="32">
        <v>0.0</v>
      </c>
      <c r="G93" s="32">
        <v>0.0</v>
      </c>
      <c r="H93" s="32">
        <v>0.0</v>
      </c>
      <c r="I93" s="32">
        <v>0.0</v>
      </c>
      <c r="J93" s="28">
        <f t="shared" si="1"/>
        <v>0</v>
      </c>
      <c r="K93" s="29">
        <v>3.0E-4</v>
      </c>
    </row>
    <row r="94">
      <c r="A94" s="24" t="s">
        <v>76</v>
      </c>
      <c r="B94" s="24" t="s">
        <v>90</v>
      </c>
      <c r="C94" s="24" t="s">
        <v>97</v>
      </c>
      <c r="D94" s="24">
        <v>12.0</v>
      </c>
      <c r="E94" s="24">
        <v>24.0</v>
      </c>
      <c r="F94" s="24">
        <v>21.0</v>
      </c>
      <c r="G94" s="24">
        <v>21.0</v>
      </c>
      <c r="H94" s="24">
        <v>19.0</v>
      </c>
      <c r="I94" s="24">
        <v>23.0</v>
      </c>
      <c r="J94" s="28">
        <f t="shared" si="1"/>
        <v>120</v>
      </c>
      <c r="K94" s="29">
        <v>0.009</v>
      </c>
    </row>
    <row r="95">
      <c r="A95" s="24" t="s">
        <v>76</v>
      </c>
      <c r="B95" s="24" t="s">
        <v>90</v>
      </c>
      <c r="C95" s="24" t="s">
        <v>100</v>
      </c>
      <c r="D95" s="24">
        <v>6.0</v>
      </c>
      <c r="E95" s="24">
        <v>10.0</v>
      </c>
      <c r="F95" s="24">
        <v>9.0</v>
      </c>
      <c r="G95" s="24">
        <v>9.0</v>
      </c>
      <c r="H95" s="24">
        <v>8.0</v>
      </c>
      <c r="I95" s="24">
        <v>10.0</v>
      </c>
      <c r="J95" s="28">
        <f t="shared" si="1"/>
        <v>52</v>
      </c>
      <c r="K95" s="29">
        <v>0.0042</v>
      </c>
    </row>
    <row r="96">
      <c r="A96" s="24" t="s">
        <v>76</v>
      </c>
      <c r="B96" s="24" t="s">
        <v>90</v>
      </c>
      <c r="C96" s="24" t="s">
        <v>96</v>
      </c>
      <c r="D96" s="24">
        <v>10.0</v>
      </c>
      <c r="E96" s="24">
        <v>14.0</v>
      </c>
      <c r="F96" s="24">
        <v>12.0</v>
      </c>
      <c r="G96" s="24">
        <v>12.0</v>
      </c>
      <c r="H96" s="24">
        <v>11.0</v>
      </c>
      <c r="I96" s="24">
        <v>13.0</v>
      </c>
      <c r="J96" s="28">
        <f t="shared" si="1"/>
        <v>72</v>
      </c>
      <c r="K96" s="29">
        <v>0.006</v>
      </c>
    </row>
    <row r="97">
      <c r="A97" s="24" t="s">
        <v>76</v>
      </c>
      <c r="B97" s="24" t="s">
        <v>90</v>
      </c>
      <c r="C97" s="32" t="s">
        <v>178</v>
      </c>
      <c r="D97" s="32">
        <v>0.0</v>
      </c>
      <c r="E97" s="32">
        <v>0.0</v>
      </c>
      <c r="F97" s="32">
        <v>0.0</v>
      </c>
      <c r="G97" s="32">
        <v>0.0</v>
      </c>
      <c r="H97" s="32">
        <v>0.0</v>
      </c>
      <c r="I97" s="32">
        <v>0.0</v>
      </c>
      <c r="J97" s="28">
        <f t="shared" si="1"/>
        <v>0</v>
      </c>
      <c r="K97" s="29">
        <v>2.0E-4</v>
      </c>
    </row>
    <row r="98">
      <c r="A98" s="24" t="s">
        <v>76</v>
      </c>
      <c r="B98" s="24" t="s">
        <v>90</v>
      </c>
      <c r="C98" s="24" t="s">
        <v>94</v>
      </c>
      <c r="D98" s="24">
        <v>10.0</v>
      </c>
      <c r="E98" s="24">
        <v>15.0</v>
      </c>
      <c r="F98" s="24">
        <v>13.0</v>
      </c>
      <c r="G98" s="24">
        <v>13.0</v>
      </c>
      <c r="H98" s="24">
        <v>12.0</v>
      </c>
      <c r="I98" s="24">
        <v>14.0</v>
      </c>
      <c r="J98" s="28">
        <f t="shared" si="1"/>
        <v>77</v>
      </c>
      <c r="K98" s="29">
        <v>0.0081</v>
      </c>
    </row>
    <row r="99">
      <c r="A99" s="24" t="s">
        <v>76</v>
      </c>
      <c r="B99" s="24" t="s">
        <v>90</v>
      </c>
      <c r="C99" s="24" t="s">
        <v>99</v>
      </c>
      <c r="D99" s="24">
        <v>15.0</v>
      </c>
      <c r="E99" s="24">
        <v>20.0</v>
      </c>
      <c r="F99" s="24">
        <v>17.0</v>
      </c>
      <c r="G99" s="24">
        <v>17.0</v>
      </c>
      <c r="H99" s="24">
        <v>16.0</v>
      </c>
      <c r="I99" s="24">
        <v>19.0</v>
      </c>
      <c r="J99" s="28">
        <f t="shared" si="1"/>
        <v>104</v>
      </c>
      <c r="K99" s="29">
        <v>0.0086</v>
      </c>
    </row>
    <row r="100">
      <c r="A100" s="24" t="s">
        <v>76</v>
      </c>
      <c r="B100" s="24" t="s">
        <v>90</v>
      </c>
      <c r="C100" s="24" t="s">
        <v>93</v>
      </c>
      <c r="D100" s="24">
        <v>29.0</v>
      </c>
      <c r="E100" s="24">
        <v>35.0</v>
      </c>
      <c r="F100" s="24">
        <v>30.0</v>
      </c>
      <c r="G100" s="24">
        <v>30.0</v>
      </c>
      <c r="H100" s="24">
        <v>25.0</v>
      </c>
      <c r="I100" s="24">
        <v>30.0</v>
      </c>
      <c r="J100" s="28">
        <f t="shared" si="1"/>
        <v>179</v>
      </c>
      <c r="K100" s="29">
        <v>0.0135</v>
      </c>
    </row>
    <row r="101">
      <c r="A101" s="24" t="s">
        <v>102</v>
      </c>
      <c r="B101" s="24" t="s">
        <v>103</v>
      </c>
      <c r="C101" s="24" t="s">
        <v>104</v>
      </c>
      <c r="D101" s="24">
        <v>10.0</v>
      </c>
      <c r="E101" s="24">
        <v>26.0</v>
      </c>
      <c r="F101" s="24">
        <v>23.0</v>
      </c>
      <c r="G101" s="24">
        <v>23.0</v>
      </c>
      <c r="H101" s="24">
        <v>21.0</v>
      </c>
      <c r="I101" s="24">
        <v>25.0</v>
      </c>
      <c r="J101" s="28">
        <f t="shared" si="1"/>
        <v>128</v>
      </c>
      <c r="K101" s="29">
        <v>0.0108</v>
      </c>
    </row>
    <row r="102">
      <c r="A102" s="24" t="s">
        <v>102</v>
      </c>
      <c r="B102" s="24" t="s">
        <v>103</v>
      </c>
      <c r="C102" s="32" t="s">
        <v>179</v>
      </c>
      <c r="D102" s="32">
        <v>0.0</v>
      </c>
      <c r="E102" s="32">
        <v>0.0</v>
      </c>
      <c r="F102" s="32">
        <v>0.0</v>
      </c>
      <c r="G102" s="32">
        <v>0.0</v>
      </c>
      <c r="H102" s="32">
        <v>0.0</v>
      </c>
      <c r="I102" s="32">
        <v>0.0</v>
      </c>
      <c r="J102" s="28">
        <f t="shared" si="1"/>
        <v>0</v>
      </c>
      <c r="K102" s="29">
        <v>2.0E-4</v>
      </c>
    </row>
    <row r="103">
      <c r="A103" s="24" t="s">
        <v>102</v>
      </c>
      <c r="B103" s="24" t="s">
        <v>103</v>
      </c>
      <c r="C103" s="24" t="s">
        <v>108</v>
      </c>
      <c r="D103" s="24">
        <v>6.0</v>
      </c>
      <c r="E103" s="24">
        <v>20.0</v>
      </c>
      <c r="F103" s="24">
        <v>17.0</v>
      </c>
      <c r="G103" s="24">
        <v>17.0</v>
      </c>
      <c r="H103" s="24">
        <v>16.0</v>
      </c>
      <c r="I103" s="24">
        <v>19.0</v>
      </c>
      <c r="J103" s="28">
        <f t="shared" si="1"/>
        <v>95</v>
      </c>
      <c r="K103" s="29">
        <v>0.0083</v>
      </c>
    </row>
    <row r="104">
      <c r="A104" s="24" t="s">
        <v>102</v>
      </c>
      <c r="B104" s="24" t="s">
        <v>103</v>
      </c>
      <c r="C104" s="32" t="s">
        <v>180</v>
      </c>
      <c r="D104" s="32">
        <v>0.0</v>
      </c>
      <c r="E104" s="32">
        <v>0.0</v>
      </c>
      <c r="F104" s="32">
        <v>0.0</v>
      </c>
      <c r="G104" s="32">
        <v>0.0</v>
      </c>
      <c r="H104" s="32">
        <v>0.0</v>
      </c>
      <c r="I104" s="32">
        <v>0.0</v>
      </c>
      <c r="J104" s="28">
        <f t="shared" si="1"/>
        <v>0</v>
      </c>
      <c r="K104" s="29">
        <v>1.0E-4</v>
      </c>
    </row>
    <row r="105">
      <c r="A105" s="24" t="s">
        <v>102</v>
      </c>
      <c r="B105" s="24" t="s">
        <v>103</v>
      </c>
      <c r="C105" s="24" t="s">
        <v>106</v>
      </c>
      <c r="D105" s="24">
        <v>14.0</v>
      </c>
      <c r="E105" s="24">
        <v>21.0</v>
      </c>
      <c r="F105" s="24">
        <v>18.0</v>
      </c>
      <c r="G105" s="24">
        <v>18.0</v>
      </c>
      <c r="H105" s="24">
        <v>17.0</v>
      </c>
      <c r="I105" s="24">
        <v>20.0</v>
      </c>
      <c r="J105" s="28">
        <f t="shared" si="1"/>
        <v>108</v>
      </c>
      <c r="K105" s="29">
        <v>0.0091</v>
      </c>
    </row>
    <row r="106">
      <c r="A106" s="24" t="s">
        <v>102</v>
      </c>
      <c r="B106" s="24" t="s">
        <v>103</v>
      </c>
      <c r="C106" s="32" t="s">
        <v>181</v>
      </c>
      <c r="D106" s="32">
        <v>0.0</v>
      </c>
      <c r="E106" s="32">
        <v>0.0</v>
      </c>
      <c r="F106" s="32">
        <v>0.0</v>
      </c>
      <c r="G106" s="32">
        <v>0.0</v>
      </c>
      <c r="H106" s="32">
        <v>0.0</v>
      </c>
      <c r="I106" s="32">
        <v>1.0</v>
      </c>
      <c r="J106" s="28">
        <f t="shared" si="1"/>
        <v>1</v>
      </c>
      <c r="K106" s="29">
        <v>4.0E-4</v>
      </c>
    </row>
    <row r="107">
      <c r="A107" s="24" t="s">
        <v>102</v>
      </c>
      <c r="B107" s="24" t="s">
        <v>103</v>
      </c>
      <c r="C107" s="32" t="s">
        <v>182</v>
      </c>
      <c r="D107" s="32">
        <v>0.0</v>
      </c>
      <c r="E107" s="32">
        <v>0.0</v>
      </c>
      <c r="F107" s="32">
        <v>0.0</v>
      </c>
      <c r="G107" s="32">
        <v>0.0</v>
      </c>
      <c r="H107" s="32">
        <v>0.0</v>
      </c>
      <c r="I107" s="32">
        <v>0.0</v>
      </c>
      <c r="J107" s="28">
        <f t="shared" si="1"/>
        <v>0</v>
      </c>
      <c r="K107" s="29">
        <v>1.0E-4</v>
      </c>
    </row>
    <row r="108">
      <c r="A108" s="24" t="s">
        <v>102</v>
      </c>
      <c r="B108" s="24" t="s">
        <v>103</v>
      </c>
      <c r="C108" s="24" t="s">
        <v>107</v>
      </c>
      <c r="D108" s="24">
        <v>8.0</v>
      </c>
      <c r="E108" s="24">
        <v>17.0</v>
      </c>
      <c r="F108" s="24">
        <v>14.0</v>
      </c>
      <c r="G108" s="24">
        <v>14.0</v>
      </c>
      <c r="H108" s="24">
        <v>13.0</v>
      </c>
      <c r="I108" s="24">
        <v>15.0</v>
      </c>
      <c r="J108" s="28">
        <f t="shared" si="1"/>
        <v>81</v>
      </c>
      <c r="K108" s="29">
        <v>0.0068</v>
      </c>
    </row>
    <row r="109">
      <c r="A109" s="24" t="s">
        <v>102</v>
      </c>
      <c r="B109" s="24" t="s">
        <v>103</v>
      </c>
      <c r="C109" s="32" t="s">
        <v>183</v>
      </c>
      <c r="D109" s="32">
        <v>0.0</v>
      </c>
      <c r="E109" s="32">
        <v>0.0</v>
      </c>
      <c r="F109" s="32">
        <v>0.0</v>
      </c>
      <c r="G109" s="32">
        <v>0.0</v>
      </c>
      <c r="H109" s="32">
        <v>0.0</v>
      </c>
      <c r="I109" s="32">
        <v>0.0</v>
      </c>
      <c r="J109" s="28">
        <f t="shared" si="1"/>
        <v>0</v>
      </c>
      <c r="K109" s="29">
        <v>3.0E-4</v>
      </c>
    </row>
    <row r="110">
      <c r="A110" s="24" t="s">
        <v>102</v>
      </c>
      <c r="B110" s="24" t="s">
        <v>103</v>
      </c>
      <c r="C110" s="24" t="s">
        <v>111</v>
      </c>
      <c r="D110" s="24">
        <v>8.0</v>
      </c>
      <c r="E110" s="24">
        <v>15.0</v>
      </c>
      <c r="F110" s="24">
        <v>12.0</v>
      </c>
      <c r="G110" s="24">
        <v>12.0</v>
      </c>
      <c r="H110" s="24">
        <v>11.0</v>
      </c>
      <c r="I110" s="24">
        <v>13.0</v>
      </c>
      <c r="J110" s="28">
        <f t="shared" si="1"/>
        <v>71</v>
      </c>
      <c r="K110" s="29">
        <v>0.0059</v>
      </c>
    </row>
    <row r="111">
      <c r="A111" s="24" t="s">
        <v>102</v>
      </c>
      <c r="B111" s="24" t="s">
        <v>103</v>
      </c>
      <c r="C111" s="32" t="s">
        <v>114</v>
      </c>
      <c r="D111" s="32">
        <v>0.0</v>
      </c>
      <c r="E111" s="32">
        <v>0.0</v>
      </c>
      <c r="F111" s="32">
        <v>0.0</v>
      </c>
      <c r="G111" s="32">
        <v>2.0</v>
      </c>
      <c r="H111" s="32">
        <v>1.0</v>
      </c>
      <c r="I111" s="32">
        <v>3.0</v>
      </c>
      <c r="J111" s="28">
        <f t="shared" si="1"/>
        <v>6</v>
      </c>
      <c r="K111" s="29">
        <v>7.0E-4</v>
      </c>
    </row>
    <row r="112">
      <c r="A112" s="24" t="s">
        <v>102</v>
      </c>
      <c r="B112" s="24" t="s">
        <v>103</v>
      </c>
      <c r="C112" s="24" t="s">
        <v>109</v>
      </c>
      <c r="D112" s="24">
        <v>10.0</v>
      </c>
      <c r="E112" s="24">
        <v>20.0</v>
      </c>
      <c r="F112" s="24">
        <v>17.0</v>
      </c>
      <c r="G112" s="24">
        <v>17.0</v>
      </c>
      <c r="H112" s="24">
        <v>16.0</v>
      </c>
      <c r="I112" s="24">
        <v>19.0</v>
      </c>
      <c r="J112" s="28">
        <f t="shared" si="1"/>
        <v>99</v>
      </c>
      <c r="K112" s="29">
        <v>0.0081</v>
      </c>
    </row>
    <row r="113">
      <c r="A113" s="24" t="s">
        <v>102</v>
      </c>
      <c r="B113" s="24" t="s">
        <v>103</v>
      </c>
      <c r="C113" s="32" t="s">
        <v>184</v>
      </c>
      <c r="D113" s="32">
        <v>0.0</v>
      </c>
      <c r="E113" s="32">
        <v>0.0</v>
      </c>
      <c r="F113" s="32">
        <v>0.0</v>
      </c>
      <c r="G113" s="32">
        <v>0.0</v>
      </c>
      <c r="H113" s="32">
        <v>0.0</v>
      </c>
      <c r="I113" s="32">
        <v>0.0</v>
      </c>
      <c r="J113" s="28">
        <f t="shared" si="1"/>
        <v>0</v>
      </c>
      <c r="K113" s="29">
        <v>2.0E-4</v>
      </c>
    </row>
    <row r="114">
      <c r="A114" s="24" t="s">
        <v>102</v>
      </c>
      <c r="B114" s="24" t="s">
        <v>103</v>
      </c>
      <c r="C114" s="24" t="s">
        <v>110</v>
      </c>
      <c r="D114" s="24">
        <v>12.0</v>
      </c>
      <c r="E114" s="24">
        <v>17.0</v>
      </c>
      <c r="F114" s="24">
        <v>15.0</v>
      </c>
      <c r="G114" s="24">
        <v>15.0</v>
      </c>
      <c r="H114" s="24">
        <v>14.0</v>
      </c>
      <c r="I114" s="24">
        <v>16.0</v>
      </c>
      <c r="J114" s="28">
        <f t="shared" si="1"/>
        <v>89</v>
      </c>
      <c r="K114" s="29">
        <v>0.007</v>
      </c>
    </row>
    <row r="115">
      <c r="A115" s="24" t="s">
        <v>102</v>
      </c>
      <c r="B115" s="24" t="s">
        <v>103</v>
      </c>
      <c r="C115" s="32" t="s">
        <v>185</v>
      </c>
      <c r="D115" s="32">
        <v>0.0</v>
      </c>
      <c r="E115" s="32">
        <v>0.0</v>
      </c>
      <c r="F115" s="32">
        <v>0.0</v>
      </c>
      <c r="G115" s="32">
        <v>0.0</v>
      </c>
      <c r="H115" s="32">
        <v>0.0</v>
      </c>
      <c r="I115" s="32">
        <v>0.0</v>
      </c>
      <c r="J115" s="28">
        <f t="shared" si="1"/>
        <v>0</v>
      </c>
      <c r="K115" s="29">
        <v>1.0E-4</v>
      </c>
    </row>
    <row r="116">
      <c r="A116" s="24" t="s">
        <v>102</v>
      </c>
      <c r="B116" s="24" t="s">
        <v>103</v>
      </c>
      <c r="C116" s="24" t="s">
        <v>113</v>
      </c>
      <c r="D116" s="24">
        <v>6.0</v>
      </c>
      <c r="E116" s="24">
        <v>8.0</v>
      </c>
      <c r="F116" s="24">
        <v>6.0</v>
      </c>
      <c r="G116" s="24">
        <v>6.0</v>
      </c>
      <c r="H116" s="24">
        <v>6.0</v>
      </c>
      <c r="I116" s="24">
        <v>7.0</v>
      </c>
      <c r="J116" s="28">
        <f t="shared" si="1"/>
        <v>39</v>
      </c>
      <c r="K116" s="29">
        <v>0.003</v>
      </c>
    </row>
    <row r="117">
      <c r="A117" s="24" t="s">
        <v>102</v>
      </c>
      <c r="B117" s="24" t="s">
        <v>103</v>
      </c>
      <c r="C117" s="24" t="s">
        <v>112</v>
      </c>
      <c r="D117" s="24">
        <v>6.0</v>
      </c>
      <c r="E117" s="24">
        <v>8.0</v>
      </c>
      <c r="F117" s="24">
        <v>6.0</v>
      </c>
      <c r="G117" s="24">
        <v>6.0</v>
      </c>
      <c r="H117" s="24">
        <v>6.0</v>
      </c>
      <c r="I117" s="24">
        <v>7.0</v>
      </c>
      <c r="J117" s="28">
        <f t="shared" si="1"/>
        <v>39</v>
      </c>
      <c r="K117" s="29">
        <v>0.003</v>
      </c>
    </row>
    <row r="118">
      <c r="A118" s="24" t="s">
        <v>102</v>
      </c>
      <c r="B118" s="24" t="s">
        <v>103</v>
      </c>
      <c r="C118" s="24" t="s">
        <v>105</v>
      </c>
      <c r="D118" s="24">
        <v>11.0</v>
      </c>
      <c r="E118" s="24">
        <v>25.0</v>
      </c>
      <c r="F118" s="24">
        <v>22.0</v>
      </c>
      <c r="G118" s="24">
        <v>22.0</v>
      </c>
      <c r="H118" s="24">
        <v>20.0</v>
      </c>
      <c r="I118" s="24">
        <v>24.0</v>
      </c>
      <c r="J118" s="28">
        <f t="shared" si="1"/>
        <v>124</v>
      </c>
      <c r="K118" s="29">
        <v>0.0102</v>
      </c>
    </row>
    <row r="119">
      <c r="A119" s="24" t="s">
        <v>102</v>
      </c>
      <c r="B119" s="24" t="s">
        <v>115</v>
      </c>
      <c r="C119" s="24" t="s">
        <v>119</v>
      </c>
      <c r="D119" s="24">
        <v>18.0</v>
      </c>
      <c r="E119" s="24">
        <v>17.0</v>
      </c>
      <c r="F119" s="24">
        <v>15.0</v>
      </c>
      <c r="G119" s="24">
        <v>15.0</v>
      </c>
      <c r="H119" s="24">
        <v>14.0</v>
      </c>
      <c r="I119" s="24">
        <v>16.0</v>
      </c>
      <c r="J119" s="28">
        <f t="shared" si="1"/>
        <v>95</v>
      </c>
      <c r="K119" s="29">
        <v>0.0109</v>
      </c>
    </row>
    <row r="120">
      <c r="A120" s="24" t="s">
        <v>102</v>
      </c>
      <c r="B120" s="24" t="s">
        <v>115</v>
      </c>
      <c r="C120" s="24" t="s">
        <v>123</v>
      </c>
      <c r="D120" s="24">
        <v>7.0</v>
      </c>
      <c r="E120" s="24">
        <v>13.0</v>
      </c>
      <c r="F120" s="24">
        <v>11.0</v>
      </c>
      <c r="G120" s="24">
        <v>11.0</v>
      </c>
      <c r="H120" s="24">
        <v>10.0</v>
      </c>
      <c r="I120" s="24">
        <v>12.0</v>
      </c>
      <c r="J120" s="28">
        <f t="shared" si="1"/>
        <v>64</v>
      </c>
      <c r="K120" s="29">
        <v>0.0054</v>
      </c>
    </row>
    <row r="121">
      <c r="A121" s="24" t="s">
        <v>102</v>
      </c>
      <c r="B121" s="24" t="s">
        <v>115</v>
      </c>
      <c r="C121" s="24" t="s">
        <v>122</v>
      </c>
      <c r="D121" s="24">
        <v>10.0</v>
      </c>
      <c r="E121" s="24">
        <v>19.0</v>
      </c>
      <c r="F121" s="24">
        <v>16.0</v>
      </c>
      <c r="G121" s="24">
        <v>16.0</v>
      </c>
      <c r="H121" s="24">
        <v>15.0</v>
      </c>
      <c r="I121" s="24">
        <v>18.0</v>
      </c>
      <c r="J121" s="28">
        <f t="shared" si="1"/>
        <v>94</v>
      </c>
      <c r="K121" s="29">
        <v>0.0079</v>
      </c>
    </row>
    <row r="122">
      <c r="A122" s="24" t="s">
        <v>102</v>
      </c>
      <c r="B122" s="24" t="s">
        <v>115</v>
      </c>
      <c r="C122" s="24" t="s">
        <v>118</v>
      </c>
      <c r="D122" s="24">
        <v>16.0</v>
      </c>
      <c r="E122" s="24">
        <v>18.0</v>
      </c>
      <c r="F122" s="24">
        <v>16.0</v>
      </c>
      <c r="G122" s="24">
        <v>16.0</v>
      </c>
      <c r="H122" s="24">
        <v>14.0</v>
      </c>
      <c r="I122" s="24">
        <v>17.0</v>
      </c>
      <c r="J122" s="28">
        <f t="shared" si="1"/>
        <v>97</v>
      </c>
      <c r="K122" s="29">
        <v>0.0082</v>
      </c>
    </row>
    <row r="123">
      <c r="A123" s="24" t="s">
        <v>102</v>
      </c>
      <c r="B123" s="24" t="s">
        <v>115</v>
      </c>
      <c r="C123" s="32" t="s">
        <v>186</v>
      </c>
      <c r="D123" s="32">
        <v>0.0</v>
      </c>
      <c r="E123" s="32">
        <v>0.0</v>
      </c>
      <c r="F123" s="32">
        <v>0.0</v>
      </c>
      <c r="G123" s="32">
        <v>0.0</v>
      </c>
      <c r="H123" s="32">
        <v>0.0</v>
      </c>
      <c r="I123" s="32">
        <v>0.0</v>
      </c>
      <c r="J123" s="28">
        <f t="shared" si="1"/>
        <v>0</v>
      </c>
      <c r="K123" s="29">
        <v>2.0E-4</v>
      </c>
    </row>
    <row r="124">
      <c r="A124" s="24" t="s">
        <v>102</v>
      </c>
      <c r="B124" s="24" t="s">
        <v>115</v>
      </c>
      <c r="C124" s="24" t="s">
        <v>117</v>
      </c>
      <c r="D124" s="24">
        <v>17.0</v>
      </c>
      <c r="E124" s="24">
        <v>25.0</v>
      </c>
      <c r="F124" s="24">
        <v>22.0</v>
      </c>
      <c r="G124" s="24">
        <v>22.0</v>
      </c>
      <c r="H124" s="24">
        <v>19.0</v>
      </c>
      <c r="I124" s="24">
        <v>23.0</v>
      </c>
      <c r="J124" s="28">
        <f t="shared" si="1"/>
        <v>128</v>
      </c>
      <c r="K124" s="29">
        <v>0.0103</v>
      </c>
    </row>
    <row r="125">
      <c r="A125" s="24" t="s">
        <v>102</v>
      </c>
      <c r="B125" s="24" t="s">
        <v>115</v>
      </c>
      <c r="C125" s="24" t="s">
        <v>116</v>
      </c>
      <c r="D125" s="24">
        <v>17.0</v>
      </c>
      <c r="E125" s="24">
        <v>24.0</v>
      </c>
      <c r="F125" s="24">
        <v>21.0</v>
      </c>
      <c r="G125" s="24">
        <v>21.0</v>
      </c>
      <c r="H125" s="24">
        <v>19.0</v>
      </c>
      <c r="I125" s="24">
        <v>23.0</v>
      </c>
      <c r="J125" s="28">
        <f t="shared" si="1"/>
        <v>125</v>
      </c>
      <c r="K125" s="29">
        <v>0.0103</v>
      </c>
    </row>
    <row r="126">
      <c r="A126" s="24" t="s">
        <v>102</v>
      </c>
      <c r="B126" s="24" t="s">
        <v>115</v>
      </c>
      <c r="C126" s="32" t="s">
        <v>187</v>
      </c>
      <c r="D126" s="32">
        <v>0.0</v>
      </c>
      <c r="E126" s="32">
        <v>0.0</v>
      </c>
      <c r="F126" s="32">
        <v>0.0</v>
      </c>
      <c r="G126" s="32">
        <v>0.0</v>
      </c>
      <c r="H126" s="32">
        <v>0.0</v>
      </c>
      <c r="I126" s="32">
        <v>1.0</v>
      </c>
      <c r="J126" s="28">
        <f t="shared" si="1"/>
        <v>1</v>
      </c>
      <c r="K126" s="29">
        <v>4.0E-4</v>
      </c>
    </row>
    <row r="127">
      <c r="A127" s="24" t="s">
        <v>102</v>
      </c>
      <c r="B127" s="24" t="s">
        <v>115</v>
      </c>
      <c r="C127" s="24" t="s">
        <v>121</v>
      </c>
      <c r="D127" s="24">
        <v>12.0</v>
      </c>
      <c r="E127" s="24">
        <v>20.0</v>
      </c>
      <c r="F127" s="24">
        <v>17.0</v>
      </c>
      <c r="G127" s="24">
        <v>17.0</v>
      </c>
      <c r="H127" s="24">
        <v>16.0</v>
      </c>
      <c r="I127" s="24">
        <v>19.0</v>
      </c>
      <c r="J127" s="28">
        <f t="shared" si="1"/>
        <v>101</v>
      </c>
      <c r="K127" s="29">
        <v>0.0085</v>
      </c>
    </row>
    <row r="128">
      <c r="A128" s="24" t="s">
        <v>102</v>
      </c>
      <c r="B128" s="24" t="s">
        <v>124</v>
      </c>
      <c r="C128" s="24" t="s">
        <v>129</v>
      </c>
      <c r="D128" s="24">
        <v>8.0</v>
      </c>
      <c r="E128" s="24">
        <v>15.0</v>
      </c>
      <c r="F128" s="24">
        <v>13.0</v>
      </c>
      <c r="G128" s="24">
        <v>13.0</v>
      </c>
      <c r="H128" s="24">
        <v>12.0</v>
      </c>
      <c r="I128" s="24">
        <v>14.0</v>
      </c>
      <c r="J128" s="28">
        <f t="shared" si="1"/>
        <v>75</v>
      </c>
      <c r="K128" s="29">
        <v>0.0062</v>
      </c>
    </row>
    <row r="129">
      <c r="A129" s="24" t="s">
        <v>102</v>
      </c>
      <c r="B129" s="24" t="s">
        <v>124</v>
      </c>
      <c r="C129" s="32" t="s">
        <v>188</v>
      </c>
      <c r="D129" s="32">
        <v>0.0</v>
      </c>
      <c r="E129" s="32">
        <v>0.0</v>
      </c>
      <c r="F129" s="32">
        <v>0.0</v>
      </c>
      <c r="G129" s="32">
        <v>0.0</v>
      </c>
      <c r="H129" s="32">
        <v>0.0</v>
      </c>
      <c r="I129" s="32">
        <v>0.0</v>
      </c>
      <c r="J129" s="28">
        <f t="shared" si="1"/>
        <v>0</v>
      </c>
      <c r="K129" s="29">
        <v>4.0E-4</v>
      </c>
    </row>
    <row r="130">
      <c r="A130" s="24" t="s">
        <v>102</v>
      </c>
      <c r="B130" s="24" t="s">
        <v>124</v>
      </c>
      <c r="C130" s="24" t="s">
        <v>125</v>
      </c>
      <c r="D130" s="24">
        <v>20.0</v>
      </c>
      <c r="E130" s="24">
        <v>21.0</v>
      </c>
      <c r="F130" s="24">
        <v>18.0</v>
      </c>
      <c r="G130" s="24">
        <v>18.0</v>
      </c>
      <c r="H130" s="24">
        <v>17.0</v>
      </c>
      <c r="I130" s="24">
        <v>20.0</v>
      </c>
      <c r="J130" s="28">
        <f t="shared" si="1"/>
        <v>114</v>
      </c>
      <c r="K130" s="29">
        <v>0.009</v>
      </c>
    </row>
    <row r="131">
      <c r="A131" s="24" t="s">
        <v>102</v>
      </c>
      <c r="B131" s="24" t="s">
        <v>124</v>
      </c>
      <c r="C131" s="32" t="s">
        <v>189</v>
      </c>
      <c r="D131" s="32">
        <v>0.0</v>
      </c>
      <c r="E131" s="32">
        <v>0.0</v>
      </c>
      <c r="F131" s="32">
        <v>0.0</v>
      </c>
      <c r="G131" s="32">
        <v>0.0</v>
      </c>
      <c r="H131" s="32">
        <v>0.0</v>
      </c>
      <c r="I131" s="32">
        <v>0.0</v>
      </c>
      <c r="J131" s="28">
        <f t="shared" si="1"/>
        <v>0</v>
      </c>
      <c r="K131" s="29">
        <v>4.0E-4</v>
      </c>
    </row>
    <row r="132">
      <c r="A132" s="24" t="s">
        <v>102</v>
      </c>
      <c r="B132" s="24" t="s">
        <v>124</v>
      </c>
      <c r="C132" s="24" t="s">
        <v>127</v>
      </c>
      <c r="D132" s="24">
        <v>7.0</v>
      </c>
      <c r="E132" s="24">
        <v>13.0</v>
      </c>
      <c r="F132" s="24">
        <v>11.0</v>
      </c>
      <c r="G132" s="24">
        <v>11.0</v>
      </c>
      <c r="H132" s="24">
        <v>10.0</v>
      </c>
      <c r="I132" s="24">
        <v>12.0</v>
      </c>
      <c r="J132" s="28">
        <f t="shared" si="1"/>
        <v>64</v>
      </c>
      <c r="K132" s="29">
        <v>0.0054</v>
      </c>
    </row>
    <row r="133">
      <c r="A133" s="24" t="s">
        <v>102</v>
      </c>
      <c r="B133" s="24" t="s">
        <v>124</v>
      </c>
      <c r="C133" s="32" t="s">
        <v>190</v>
      </c>
      <c r="D133" s="32">
        <v>0.0</v>
      </c>
      <c r="E133" s="32">
        <v>0.0</v>
      </c>
      <c r="F133" s="32">
        <v>0.0</v>
      </c>
      <c r="G133" s="32">
        <v>0.0</v>
      </c>
      <c r="H133" s="32">
        <v>0.0</v>
      </c>
      <c r="I133" s="32">
        <v>1.0</v>
      </c>
      <c r="J133" s="28">
        <f t="shared" si="1"/>
        <v>1</v>
      </c>
      <c r="K133" s="29">
        <v>6.0E-4</v>
      </c>
    </row>
    <row r="134">
      <c r="A134" s="24" t="s">
        <v>102</v>
      </c>
      <c r="B134" s="24" t="s">
        <v>124</v>
      </c>
      <c r="C134" s="24" t="s">
        <v>126</v>
      </c>
      <c r="D134" s="24">
        <v>11.0</v>
      </c>
      <c r="E134" s="24">
        <v>23.0</v>
      </c>
      <c r="F134" s="24">
        <v>20.0</v>
      </c>
      <c r="G134" s="24">
        <v>20.0</v>
      </c>
      <c r="H134" s="24">
        <v>18.0</v>
      </c>
      <c r="I134" s="24">
        <v>22.0</v>
      </c>
      <c r="J134" s="28">
        <f t="shared" si="1"/>
        <v>114</v>
      </c>
      <c r="K134" s="29">
        <v>0.0093</v>
      </c>
    </row>
    <row r="135">
      <c r="A135" s="24" t="s">
        <v>102</v>
      </c>
      <c r="B135" s="24" t="s">
        <v>124</v>
      </c>
      <c r="C135" s="24" t="s">
        <v>128</v>
      </c>
      <c r="D135" s="24">
        <v>10.0</v>
      </c>
      <c r="E135" s="24">
        <v>19.0</v>
      </c>
      <c r="F135" s="24">
        <v>16.0</v>
      </c>
      <c r="G135" s="24">
        <v>16.0</v>
      </c>
      <c r="H135" s="24">
        <v>15.0</v>
      </c>
      <c r="I135" s="24">
        <v>18.0</v>
      </c>
      <c r="J135" s="28">
        <f t="shared" si="1"/>
        <v>94</v>
      </c>
      <c r="K135" s="29">
        <v>0.008</v>
      </c>
    </row>
    <row r="136">
      <c r="A136" s="24" t="s">
        <v>130</v>
      </c>
      <c r="B136" s="24" t="s">
        <v>131</v>
      </c>
      <c r="C136" s="24" t="s">
        <v>134</v>
      </c>
      <c r="D136" s="24">
        <v>15.0</v>
      </c>
      <c r="E136" s="24">
        <v>35.0</v>
      </c>
      <c r="F136" s="24">
        <v>30.0</v>
      </c>
      <c r="G136" s="24">
        <v>30.0</v>
      </c>
      <c r="H136" s="24">
        <v>26.0</v>
      </c>
      <c r="I136" s="24">
        <v>31.0</v>
      </c>
      <c r="J136" s="28">
        <f t="shared" si="1"/>
        <v>167</v>
      </c>
      <c r="K136" s="29">
        <v>0.0125</v>
      </c>
    </row>
    <row r="137">
      <c r="A137" s="24" t="s">
        <v>130</v>
      </c>
      <c r="B137" s="24" t="s">
        <v>131</v>
      </c>
      <c r="C137" s="24" t="s">
        <v>136</v>
      </c>
      <c r="D137" s="24">
        <v>12.0</v>
      </c>
      <c r="E137" s="24">
        <v>28.0</v>
      </c>
      <c r="F137" s="24">
        <v>24.0</v>
      </c>
      <c r="G137" s="24">
        <v>24.0</v>
      </c>
      <c r="H137" s="24">
        <v>22.0</v>
      </c>
      <c r="I137" s="24">
        <v>27.0</v>
      </c>
      <c r="J137" s="28">
        <f t="shared" si="1"/>
        <v>137</v>
      </c>
      <c r="K137" s="29">
        <v>0.0111</v>
      </c>
    </row>
    <row r="138">
      <c r="A138" s="24" t="s">
        <v>130</v>
      </c>
      <c r="B138" s="24" t="s">
        <v>131</v>
      </c>
      <c r="C138" s="24" t="s">
        <v>132</v>
      </c>
      <c r="D138" s="24">
        <v>14.0</v>
      </c>
      <c r="E138" s="24">
        <v>32.0</v>
      </c>
      <c r="F138" s="24">
        <v>28.0</v>
      </c>
      <c r="G138" s="24">
        <v>28.0</v>
      </c>
      <c r="H138" s="24">
        <v>26.0</v>
      </c>
      <c r="I138" s="24">
        <v>25.0</v>
      </c>
      <c r="J138" s="28">
        <f t="shared" si="1"/>
        <v>153</v>
      </c>
      <c r="K138" s="29">
        <v>0.0116</v>
      </c>
    </row>
    <row r="139">
      <c r="A139" s="24" t="s">
        <v>130</v>
      </c>
      <c r="B139" s="24" t="s">
        <v>131</v>
      </c>
      <c r="C139" s="24" t="s">
        <v>135</v>
      </c>
      <c r="D139" s="24">
        <v>13.0</v>
      </c>
      <c r="E139" s="24">
        <v>30.0</v>
      </c>
      <c r="F139" s="24">
        <v>26.0</v>
      </c>
      <c r="G139" s="24">
        <v>26.0</v>
      </c>
      <c r="H139" s="24">
        <v>24.0</v>
      </c>
      <c r="I139" s="24">
        <v>29.0</v>
      </c>
      <c r="J139" s="28">
        <f t="shared" si="1"/>
        <v>148</v>
      </c>
      <c r="K139" s="29">
        <v>0.0123</v>
      </c>
    </row>
    <row r="140">
      <c r="A140" s="24" t="s">
        <v>130</v>
      </c>
      <c r="B140" s="24" t="s">
        <v>131</v>
      </c>
      <c r="C140" s="24" t="s">
        <v>139</v>
      </c>
      <c r="D140" s="24">
        <v>9.0</v>
      </c>
      <c r="E140" s="24">
        <v>23.0</v>
      </c>
      <c r="F140" s="24">
        <v>20.0</v>
      </c>
      <c r="G140" s="24">
        <v>20.0</v>
      </c>
      <c r="H140" s="24">
        <v>18.0</v>
      </c>
      <c r="I140" s="24">
        <v>23.0</v>
      </c>
      <c r="J140" s="28">
        <f t="shared" si="1"/>
        <v>113</v>
      </c>
      <c r="K140" s="29">
        <v>0.0099</v>
      </c>
    </row>
    <row r="141">
      <c r="A141" s="24" t="s">
        <v>130</v>
      </c>
      <c r="B141" s="24" t="s">
        <v>131</v>
      </c>
      <c r="C141" s="24" t="s">
        <v>137</v>
      </c>
      <c r="D141" s="24">
        <v>10.0</v>
      </c>
      <c r="E141" s="24">
        <v>23.0</v>
      </c>
      <c r="F141" s="24">
        <v>20.0</v>
      </c>
      <c r="G141" s="24">
        <v>20.0</v>
      </c>
      <c r="H141" s="24">
        <v>18.0</v>
      </c>
      <c r="I141" s="24">
        <v>22.0</v>
      </c>
      <c r="J141" s="28">
        <f t="shared" si="1"/>
        <v>113</v>
      </c>
      <c r="K141" s="29">
        <v>0.0096</v>
      </c>
    </row>
    <row r="142">
      <c r="A142" s="24" t="s">
        <v>130</v>
      </c>
      <c r="B142" s="24" t="s">
        <v>131</v>
      </c>
      <c r="C142" s="24" t="s">
        <v>140</v>
      </c>
      <c r="D142" s="24">
        <v>7.0</v>
      </c>
      <c r="E142" s="24">
        <v>20.0</v>
      </c>
      <c r="F142" s="24">
        <v>17.0</v>
      </c>
      <c r="G142" s="24">
        <v>17.0</v>
      </c>
      <c r="H142" s="24">
        <v>16.0</v>
      </c>
      <c r="I142" s="24">
        <v>19.0</v>
      </c>
      <c r="J142" s="28">
        <f t="shared" si="1"/>
        <v>96</v>
      </c>
      <c r="K142" s="29">
        <v>0.0083</v>
      </c>
    </row>
    <row r="143">
      <c r="A143" s="24" t="s">
        <v>130</v>
      </c>
      <c r="B143" s="24" t="s">
        <v>131</v>
      </c>
      <c r="C143" s="24" t="s">
        <v>138</v>
      </c>
      <c r="D143" s="24">
        <v>9.0</v>
      </c>
      <c r="E143" s="24">
        <v>23.0</v>
      </c>
      <c r="F143" s="24">
        <v>20.0</v>
      </c>
      <c r="G143" s="24">
        <v>20.0</v>
      </c>
      <c r="H143" s="24">
        <v>18.0</v>
      </c>
      <c r="I143" s="24">
        <v>22.0</v>
      </c>
      <c r="J143" s="28">
        <f t="shared" si="1"/>
        <v>112</v>
      </c>
      <c r="K143" s="29">
        <v>0.0095</v>
      </c>
    </row>
    <row r="144">
      <c r="A144" s="24" t="s">
        <v>130</v>
      </c>
      <c r="B144" s="24" t="s">
        <v>131</v>
      </c>
      <c r="C144" s="24" t="s">
        <v>133</v>
      </c>
      <c r="D144" s="24">
        <v>19.0</v>
      </c>
      <c r="E144" s="24">
        <v>30.0</v>
      </c>
      <c r="F144" s="24">
        <v>26.0</v>
      </c>
      <c r="G144" s="24">
        <v>26.0</v>
      </c>
      <c r="H144" s="24">
        <v>22.0</v>
      </c>
      <c r="I144" s="24">
        <v>26.0</v>
      </c>
      <c r="J144" s="28">
        <f t="shared" si="1"/>
        <v>149</v>
      </c>
      <c r="K144" s="29">
        <v>0.0118</v>
      </c>
    </row>
    <row r="145">
      <c r="A145" s="24" t="s">
        <v>130</v>
      </c>
      <c r="B145" s="24" t="s">
        <v>156</v>
      </c>
      <c r="C145" s="24" t="s">
        <v>159</v>
      </c>
      <c r="D145" s="24">
        <v>17.0</v>
      </c>
      <c r="E145" s="24">
        <v>30.0</v>
      </c>
      <c r="F145" s="24">
        <v>26.0</v>
      </c>
      <c r="G145" s="24">
        <v>26.0</v>
      </c>
      <c r="H145" s="24">
        <v>24.0</v>
      </c>
      <c r="I145" s="24">
        <v>29.0</v>
      </c>
      <c r="J145" s="28">
        <f t="shared" si="1"/>
        <v>152</v>
      </c>
      <c r="K145" s="29">
        <v>0.0119</v>
      </c>
    </row>
    <row r="146">
      <c r="A146" s="24" t="s">
        <v>130</v>
      </c>
      <c r="B146" s="24" t="s">
        <v>156</v>
      </c>
      <c r="C146" s="24" t="s">
        <v>169</v>
      </c>
      <c r="D146" s="24">
        <v>10.0</v>
      </c>
      <c r="E146" s="24">
        <v>19.0</v>
      </c>
      <c r="F146" s="24">
        <v>16.0</v>
      </c>
      <c r="G146" s="24">
        <v>16.0</v>
      </c>
      <c r="H146" s="24">
        <v>15.0</v>
      </c>
      <c r="I146" s="24">
        <v>18.0</v>
      </c>
      <c r="J146" s="28">
        <f t="shared" si="1"/>
        <v>94</v>
      </c>
      <c r="K146" s="29">
        <v>0.008</v>
      </c>
    </row>
    <row r="147">
      <c r="A147" s="24" t="s">
        <v>130</v>
      </c>
      <c r="B147" s="24" t="s">
        <v>156</v>
      </c>
      <c r="C147" s="24" t="s">
        <v>168</v>
      </c>
      <c r="D147" s="24">
        <v>10.0</v>
      </c>
      <c r="E147" s="24">
        <v>19.0</v>
      </c>
      <c r="F147" s="24">
        <v>16.0</v>
      </c>
      <c r="G147" s="24">
        <v>16.0</v>
      </c>
      <c r="H147" s="24">
        <v>15.0</v>
      </c>
      <c r="I147" s="24">
        <v>18.0</v>
      </c>
      <c r="J147" s="28">
        <f t="shared" si="1"/>
        <v>94</v>
      </c>
      <c r="K147" s="29">
        <v>0.008</v>
      </c>
    </row>
    <row r="148">
      <c r="A148" s="24" t="s">
        <v>130</v>
      </c>
      <c r="B148" s="24" t="s">
        <v>156</v>
      </c>
      <c r="C148" s="24" t="s">
        <v>166</v>
      </c>
      <c r="D148" s="24">
        <v>10.0</v>
      </c>
      <c r="E148" s="24">
        <v>19.0</v>
      </c>
      <c r="F148" s="24">
        <v>16.0</v>
      </c>
      <c r="G148" s="24">
        <v>16.0</v>
      </c>
      <c r="H148" s="24">
        <v>15.0</v>
      </c>
      <c r="I148" s="24">
        <v>18.0</v>
      </c>
      <c r="J148" s="28">
        <f t="shared" si="1"/>
        <v>94</v>
      </c>
      <c r="K148" s="29">
        <v>0.008</v>
      </c>
    </row>
    <row r="149">
      <c r="A149" s="24" t="s">
        <v>130</v>
      </c>
      <c r="B149" s="24" t="s">
        <v>156</v>
      </c>
      <c r="C149" s="32" t="s">
        <v>170</v>
      </c>
      <c r="D149" s="32">
        <v>0.0</v>
      </c>
      <c r="E149" s="32">
        <v>3.0</v>
      </c>
      <c r="F149" s="32">
        <v>3.0</v>
      </c>
      <c r="G149" s="32">
        <v>4.0</v>
      </c>
      <c r="H149" s="32">
        <v>3.0</v>
      </c>
      <c r="I149" s="32">
        <v>2.0</v>
      </c>
      <c r="J149" s="28">
        <f t="shared" si="1"/>
        <v>15</v>
      </c>
      <c r="K149" s="29">
        <v>0.0016</v>
      </c>
    </row>
    <row r="150">
      <c r="A150" s="24" t="s">
        <v>130</v>
      </c>
      <c r="B150" s="24" t="s">
        <v>156</v>
      </c>
      <c r="C150" s="24" t="s">
        <v>160</v>
      </c>
      <c r="D150" s="24">
        <v>10.0</v>
      </c>
      <c r="E150" s="24">
        <v>28.0</v>
      </c>
      <c r="F150" s="24">
        <v>27.0</v>
      </c>
      <c r="G150" s="24">
        <v>27.0</v>
      </c>
      <c r="H150" s="24">
        <v>25.0</v>
      </c>
      <c r="I150" s="24">
        <v>30.0</v>
      </c>
      <c r="J150" s="28">
        <f t="shared" si="1"/>
        <v>147</v>
      </c>
      <c r="K150" s="29">
        <v>0.0118</v>
      </c>
    </row>
    <row r="151">
      <c r="A151" s="24" t="s">
        <v>130</v>
      </c>
      <c r="B151" s="24" t="s">
        <v>156</v>
      </c>
      <c r="C151" s="24" t="s">
        <v>165</v>
      </c>
      <c r="D151" s="24">
        <v>15.0</v>
      </c>
      <c r="E151" s="24">
        <v>20.0</v>
      </c>
      <c r="F151" s="24">
        <v>16.0</v>
      </c>
      <c r="G151" s="24">
        <v>16.0</v>
      </c>
      <c r="H151" s="24">
        <v>15.0</v>
      </c>
      <c r="I151" s="24">
        <v>18.0</v>
      </c>
      <c r="J151" s="28">
        <f t="shared" si="1"/>
        <v>100</v>
      </c>
      <c r="K151" s="29">
        <v>0.0085</v>
      </c>
    </row>
    <row r="152">
      <c r="A152" s="24" t="s">
        <v>130</v>
      </c>
      <c r="B152" s="24" t="s">
        <v>156</v>
      </c>
      <c r="C152" s="24" t="s">
        <v>163</v>
      </c>
      <c r="D152" s="24">
        <v>15.0</v>
      </c>
      <c r="E152" s="24">
        <v>15.0</v>
      </c>
      <c r="F152" s="24">
        <v>13.0</v>
      </c>
      <c r="G152" s="24">
        <v>13.0</v>
      </c>
      <c r="H152" s="24">
        <v>12.0</v>
      </c>
      <c r="I152" s="24">
        <v>15.0</v>
      </c>
      <c r="J152" s="28">
        <f t="shared" si="1"/>
        <v>83</v>
      </c>
      <c r="K152" s="29">
        <v>0.0072</v>
      </c>
    </row>
    <row r="153">
      <c r="A153" s="24" t="s">
        <v>130</v>
      </c>
      <c r="B153" s="24" t="s">
        <v>156</v>
      </c>
      <c r="C153" s="24" t="s">
        <v>157</v>
      </c>
      <c r="D153" s="24">
        <v>12.0</v>
      </c>
      <c r="E153" s="24">
        <v>28.0</v>
      </c>
      <c r="F153" s="24">
        <v>27.0</v>
      </c>
      <c r="G153" s="24">
        <v>29.0</v>
      </c>
      <c r="H153" s="24">
        <v>25.0</v>
      </c>
      <c r="I153" s="24">
        <v>30.0</v>
      </c>
      <c r="J153" s="28">
        <f t="shared" si="1"/>
        <v>151</v>
      </c>
      <c r="K153" s="29">
        <v>0.0131</v>
      </c>
    </row>
    <row r="154">
      <c r="A154" s="24" t="s">
        <v>130</v>
      </c>
      <c r="B154" s="24" t="s">
        <v>156</v>
      </c>
      <c r="C154" s="24" t="s">
        <v>162</v>
      </c>
      <c r="D154" s="24">
        <v>9.0</v>
      </c>
      <c r="E154" s="24">
        <v>24.0</v>
      </c>
      <c r="F154" s="24">
        <v>21.0</v>
      </c>
      <c r="G154" s="24">
        <v>21.0</v>
      </c>
      <c r="H154" s="24">
        <v>19.0</v>
      </c>
      <c r="I154" s="24">
        <v>25.0</v>
      </c>
      <c r="J154" s="28">
        <f t="shared" si="1"/>
        <v>119</v>
      </c>
      <c r="K154" s="29">
        <v>0.0108</v>
      </c>
    </row>
    <row r="155">
      <c r="A155" s="24" t="s">
        <v>130</v>
      </c>
      <c r="B155" s="24" t="s">
        <v>141</v>
      </c>
      <c r="C155" s="24" t="s">
        <v>142</v>
      </c>
      <c r="D155" s="24">
        <v>20.0</v>
      </c>
      <c r="E155" s="24">
        <v>30.0</v>
      </c>
      <c r="F155" s="24">
        <v>27.0</v>
      </c>
      <c r="G155" s="24">
        <v>27.0</v>
      </c>
      <c r="H155" s="24">
        <v>24.0</v>
      </c>
      <c r="I155" s="24">
        <v>29.0</v>
      </c>
      <c r="J155" s="28">
        <f t="shared" si="1"/>
        <v>157</v>
      </c>
      <c r="K155" s="29">
        <v>0.0118</v>
      </c>
    </row>
    <row r="156">
      <c r="A156" s="24" t="s">
        <v>130</v>
      </c>
      <c r="B156" s="24" t="s">
        <v>141</v>
      </c>
      <c r="C156" s="24" t="s">
        <v>143</v>
      </c>
      <c r="D156" s="24">
        <v>20.0</v>
      </c>
      <c r="E156" s="24">
        <v>30.0</v>
      </c>
      <c r="F156" s="24">
        <v>26.0</v>
      </c>
      <c r="G156" s="24">
        <v>26.0</v>
      </c>
      <c r="H156" s="24">
        <v>24.0</v>
      </c>
      <c r="I156" s="24">
        <v>29.0</v>
      </c>
      <c r="J156" s="28">
        <f t="shared" si="1"/>
        <v>155</v>
      </c>
      <c r="K156" s="29">
        <v>0.0115</v>
      </c>
    </row>
    <row r="157">
      <c r="A157" s="24" t="s">
        <v>130</v>
      </c>
      <c r="B157" s="24" t="s">
        <v>141</v>
      </c>
      <c r="C157" s="32" t="s">
        <v>153</v>
      </c>
      <c r="D157" s="32">
        <v>0.0</v>
      </c>
      <c r="E157" s="32">
        <v>0.0</v>
      </c>
      <c r="F157" s="32">
        <v>4.0</v>
      </c>
      <c r="G157" s="32">
        <v>2.0</v>
      </c>
      <c r="H157" s="32">
        <v>4.0</v>
      </c>
      <c r="I157" s="32">
        <v>2.0</v>
      </c>
      <c r="J157" s="28">
        <f t="shared" si="1"/>
        <v>12</v>
      </c>
      <c r="K157" s="29">
        <v>0.0014</v>
      </c>
    </row>
    <row r="158">
      <c r="A158" s="24" t="s">
        <v>130</v>
      </c>
      <c r="B158" s="24" t="s">
        <v>141</v>
      </c>
      <c r="C158" s="24" t="s">
        <v>152</v>
      </c>
      <c r="D158" s="24">
        <v>3.0</v>
      </c>
      <c r="E158" s="24">
        <v>3.0</v>
      </c>
      <c r="F158" s="24">
        <v>3.0</v>
      </c>
      <c r="G158" s="24">
        <v>3.0</v>
      </c>
      <c r="H158" s="24">
        <v>2.0</v>
      </c>
      <c r="I158" s="24">
        <v>3.0</v>
      </c>
      <c r="J158" s="28">
        <f t="shared" si="1"/>
        <v>17</v>
      </c>
      <c r="K158" s="29">
        <v>0.0013</v>
      </c>
    </row>
    <row r="159">
      <c r="A159" s="24" t="s">
        <v>130</v>
      </c>
      <c r="B159" s="24" t="s">
        <v>141</v>
      </c>
      <c r="C159" s="24" t="s">
        <v>147</v>
      </c>
      <c r="D159" s="24">
        <v>11.0</v>
      </c>
      <c r="E159" s="24">
        <v>20.0</v>
      </c>
      <c r="F159" s="24">
        <v>17.0</v>
      </c>
      <c r="G159" s="24">
        <v>17.0</v>
      </c>
      <c r="H159" s="24">
        <v>16.0</v>
      </c>
      <c r="I159" s="24">
        <v>16.0</v>
      </c>
      <c r="J159" s="28">
        <f t="shared" si="1"/>
        <v>97</v>
      </c>
      <c r="K159" s="29">
        <v>0.0072</v>
      </c>
    </row>
    <row r="160">
      <c r="A160" s="24" t="s">
        <v>130</v>
      </c>
      <c r="B160" s="24" t="s">
        <v>141</v>
      </c>
      <c r="C160" s="24" t="s">
        <v>151</v>
      </c>
      <c r="D160" s="24">
        <v>9.0</v>
      </c>
      <c r="E160" s="24">
        <v>22.0</v>
      </c>
      <c r="F160" s="24">
        <v>19.0</v>
      </c>
      <c r="G160" s="24">
        <v>20.0</v>
      </c>
      <c r="H160" s="24">
        <v>18.0</v>
      </c>
      <c r="I160" s="24">
        <v>23.0</v>
      </c>
      <c r="J160" s="28">
        <f t="shared" si="1"/>
        <v>111</v>
      </c>
      <c r="K160" s="29">
        <v>0.0089</v>
      </c>
    </row>
    <row r="161">
      <c r="A161" s="24" t="s">
        <v>130</v>
      </c>
      <c r="B161" s="24" t="s">
        <v>141</v>
      </c>
      <c r="C161" s="24" t="s">
        <v>146</v>
      </c>
      <c r="D161" s="24">
        <v>9.0</v>
      </c>
      <c r="E161" s="24">
        <v>23.0</v>
      </c>
      <c r="F161" s="24">
        <v>20.0</v>
      </c>
      <c r="G161" s="24">
        <v>20.0</v>
      </c>
      <c r="H161" s="24">
        <v>18.0</v>
      </c>
      <c r="I161" s="24">
        <v>22.0</v>
      </c>
      <c r="J161" s="28">
        <f t="shared" si="1"/>
        <v>112</v>
      </c>
      <c r="K161" s="29">
        <v>0.0076</v>
      </c>
    </row>
    <row r="162">
      <c r="A162" s="24" t="s">
        <v>130</v>
      </c>
      <c r="B162" s="24" t="s">
        <v>141</v>
      </c>
      <c r="C162" s="32" t="s">
        <v>191</v>
      </c>
      <c r="D162" s="32">
        <v>0.0</v>
      </c>
      <c r="E162" s="32">
        <v>0.0</v>
      </c>
      <c r="F162" s="32">
        <v>0.0</v>
      </c>
      <c r="G162" s="32">
        <v>2.0</v>
      </c>
      <c r="H162" s="32">
        <v>3.0</v>
      </c>
      <c r="I162" s="32">
        <v>3.0</v>
      </c>
      <c r="J162" s="28">
        <f t="shared" si="1"/>
        <v>8</v>
      </c>
      <c r="K162" s="29">
        <v>0.0013</v>
      </c>
    </row>
    <row r="163">
      <c r="A163" s="24" t="s">
        <v>130</v>
      </c>
      <c r="B163" s="24" t="s">
        <v>141</v>
      </c>
      <c r="C163" s="24" t="s">
        <v>149</v>
      </c>
      <c r="D163" s="24">
        <v>10.0</v>
      </c>
      <c r="E163" s="24">
        <v>17.0</v>
      </c>
      <c r="F163" s="24">
        <v>15.0</v>
      </c>
      <c r="G163" s="24">
        <v>15.0</v>
      </c>
      <c r="H163" s="24">
        <v>14.0</v>
      </c>
      <c r="I163" s="24">
        <v>16.0</v>
      </c>
      <c r="J163" s="28">
        <f t="shared" si="1"/>
        <v>87</v>
      </c>
      <c r="K163" s="29">
        <v>0.0064</v>
      </c>
    </row>
    <row r="164">
      <c r="A164" s="3"/>
      <c r="B164" s="3"/>
      <c r="C164" s="3"/>
      <c r="D164" s="46">
        <v>1258.0</v>
      </c>
      <c r="E164" s="46">
        <v>2370.0</v>
      </c>
      <c r="F164" s="46">
        <v>2068.0</v>
      </c>
      <c r="G164" s="46">
        <v>2068.0</v>
      </c>
      <c r="H164" s="46">
        <v>1912.0</v>
      </c>
      <c r="I164" s="46">
        <v>2272.0</v>
      </c>
      <c r="J164" s="28">
        <f t="shared" si="1"/>
        <v>11948</v>
      </c>
      <c r="K164" s="47">
        <v>1.0</v>
      </c>
    </row>
    <row r="165">
      <c r="A165" s="3"/>
      <c r="B165" s="3"/>
      <c r="C165" s="48" t="s">
        <v>192</v>
      </c>
      <c r="D165" s="24">
        <v>-1.0</v>
      </c>
      <c r="E165" s="24">
        <v>19.0</v>
      </c>
      <c r="F165" s="24">
        <v>17.0</v>
      </c>
      <c r="G165" s="24">
        <v>16.0</v>
      </c>
      <c r="H165" s="24">
        <v>15.0</v>
      </c>
      <c r="I165" s="24">
        <v>16.0</v>
      </c>
      <c r="J165" s="3"/>
      <c r="K165" s="3"/>
    </row>
    <row r="166">
      <c r="A166" s="3"/>
      <c r="B166" s="3"/>
      <c r="C166" s="48" t="s">
        <v>193</v>
      </c>
      <c r="D166" s="49">
        <v>1257.0</v>
      </c>
      <c r="E166" s="49">
        <v>2389.0</v>
      </c>
      <c r="F166" s="49">
        <v>2085.0</v>
      </c>
      <c r="G166" s="49">
        <v>2085.0</v>
      </c>
      <c r="H166" s="49">
        <v>1927.0</v>
      </c>
      <c r="I166" s="49">
        <v>2288.0</v>
      </c>
      <c r="J166" s="49">
        <v>30000.0</v>
      </c>
      <c r="K166" s="3"/>
    </row>
    <row r="167">
      <c r="A167" s="3"/>
      <c r="B167" s="3"/>
      <c r="C167" s="48" t="s">
        <v>194</v>
      </c>
      <c r="D167" s="49">
        <v>22000.0</v>
      </c>
      <c r="E167" s="49">
        <v>41800.0</v>
      </c>
      <c r="F167" s="49">
        <v>36480.0</v>
      </c>
      <c r="G167" s="49">
        <v>36480.0</v>
      </c>
      <c r="H167" s="49">
        <v>33730.0</v>
      </c>
      <c r="I167" s="49">
        <v>40040.0</v>
      </c>
      <c r="J167" s="49">
        <v>525000.0</v>
      </c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0</v>
      </c>
      <c r="B1" s="16" t="s">
        <v>1</v>
      </c>
      <c r="C1" s="18" t="s">
        <v>2</v>
      </c>
      <c r="D1" s="21">
        <v>46113.0</v>
      </c>
      <c r="E1" s="21">
        <v>46113.0</v>
      </c>
      <c r="F1" s="21">
        <v>46143.0</v>
      </c>
      <c r="G1" s="21">
        <v>46143.0</v>
      </c>
      <c r="H1" s="21">
        <v>46174.0</v>
      </c>
      <c r="I1" s="21">
        <v>46174.0</v>
      </c>
      <c r="J1" s="21">
        <v>46174.0</v>
      </c>
      <c r="K1" s="21">
        <v>46204.0</v>
      </c>
      <c r="L1" s="21">
        <v>46204.0</v>
      </c>
      <c r="M1" s="21">
        <v>46204.0</v>
      </c>
      <c r="N1" s="21">
        <v>46235.0</v>
      </c>
      <c r="O1" s="21">
        <v>46235.0</v>
      </c>
      <c r="P1" s="21">
        <v>46235.0</v>
      </c>
      <c r="Q1" s="21">
        <v>46266.0</v>
      </c>
      <c r="R1" s="21">
        <v>46266.0</v>
      </c>
      <c r="S1" s="21">
        <v>46266.0</v>
      </c>
      <c r="T1" s="18" t="s">
        <v>29</v>
      </c>
    </row>
    <row r="2">
      <c r="A2" s="23" t="s">
        <v>6</v>
      </c>
      <c r="B2" s="26" t="s">
        <v>7</v>
      </c>
      <c r="C2" s="26" t="s">
        <v>10</v>
      </c>
      <c r="D2" s="26">
        <v>4.0</v>
      </c>
      <c r="E2" s="26">
        <v>1.0</v>
      </c>
      <c r="F2" s="26">
        <v>3.0</v>
      </c>
      <c r="G2" s="26">
        <v>2.0</v>
      </c>
      <c r="H2" s="26">
        <v>13.0</v>
      </c>
      <c r="I2" s="26">
        <v>0.0</v>
      </c>
      <c r="J2" s="26">
        <v>0.0</v>
      </c>
      <c r="K2" s="26">
        <v>23.0</v>
      </c>
      <c r="L2" s="26">
        <v>0.0</v>
      </c>
      <c r="M2" s="26">
        <v>1.0</v>
      </c>
      <c r="N2" s="26">
        <v>23.0</v>
      </c>
      <c r="O2" s="26">
        <v>3.0</v>
      </c>
      <c r="P2" s="26">
        <v>3.0</v>
      </c>
      <c r="Q2" s="26">
        <v>3.0</v>
      </c>
      <c r="R2" s="26">
        <v>11.0</v>
      </c>
      <c r="S2" s="26">
        <v>1.0</v>
      </c>
      <c r="T2" s="26">
        <v>91.0</v>
      </c>
    </row>
    <row r="3">
      <c r="A3" s="23" t="s">
        <v>6</v>
      </c>
      <c r="B3" s="26" t="s">
        <v>7</v>
      </c>
      <c r="C3" s="26" t="s">
        <v>12</v>
      </c>
      <c r="D3" s="26">
        <v>2.0</v>
      </c>
      <c r="E3" s="26">
        <v>7.0</v>
      </c>
      <c r="F3" s="26">
        <v>15.0</v>
      </c>
      <c r="G3" s="26">
        <v>12.0</v>
      </c>
      <c r="H3" s="26">
        <v>13.0</v>
      </c>
      <c r="I3" s="26">
        <v>0.0</v>
      </c>
      <c r="J3" s="26">
        <v>17.0</v>
      </c>
      <c r="K3" s="26">
        <v>50.0</v>
      </c>
      <c r="L3" s="26">
        <v>0.0</v>
      </c>
      <c r="M3" s="26">
        <v>7.0</v>
      </c>
      <c r="N3" s="26">
        <v>38.0</v>
      </c>
      <c r="O3" s="26">
        <v>0.0</v>
      </c>
      <c r="P3" s="26">
        <v>8.0</v>
      </c>
      <c r="Q3" s="26">
        <v>25.0</v>
      </c>
      <c r="R3" s="26">
        <v>0.0</v>
      </c>
      <c r="S3" s="26">
        <v>7.0</v>
      </c>
      <c r="T3" s="26">
        <v>201.0</v>
      </c>
    </row>
    <row r="4">
      <c r="A4" s="23" t="s">
        <v>6</v>
      </c>
      <c r="B4" s="26" t="s">
        <v>7</v>
      </c>
      <c r="C4" s="26" t="s">
        <v>19</v>
      </c>
      <c r="D4" s="26">
        <v>2.0</v>
      </c>
      <c r="E4" s="26">
        <v>1.0</v>
      </c>
      <c r="F4" s="26">
        <v>2.0</v>
      </c>
      <c r="G4" s="26">
        <v>0.0</v>
      </c>
      <c r="H4" s="26">
        <v>2.0</v>
      </c>
      <c r="I4" s="26">
        <v>0.0</v>
      </c>
      <c r="J4" s="26">
        <v>1.0</v>
      </c>
      <c r="K4" s="26">
        <v>4.0</v>
      </c>
      <c r="L4" s="26">
        <v>0.0</v>
      </c>
      <c r="M4" s="26">
        <v>0.0</v>
      </c>
      <c r="N4" s="26">
        <v>6.0</v>
      </c>
      <c r="O4" s="26">
        <v>0.0</v>
      </c>
      <c r="P4" s="26">
        <v>0.0</v>
      </c>
      <c r="Q4" s="26">
        <v>5.0</v>
      </c>
      <c r="R4" s="26">
        <v>0.0</v>
      </c>
      <c r="S4" s="26">
        <v>1.0</v>
      </c>
      <c r="T4" s="26">
        <v>24.0</v>
      </c>
    </row>
    <row r="5">
      <c r="A5" s="23" t="s">
        <v>6</v>
      </c>
      <c r="B5" s="26" t="s">
        <v>7</v>
      </c>
      <c r="C5" s="26" t="s">
        <v>11</v>
      </c>
      <c r="D5" s="26">
        <v>1.0</v>
      </c>
      <c r="E5" s="26">
        <v>3.0</v>
      </c>
      <c r="F5" s="26">
        <v>3.0</v>
      </c>
      <c r="G5" s="26">
        <v>7.0</v>
      </c>
      <c r="H5" s="26">
        <v>26.0</v>
      </c>
      <c r="I5" s="26">
        <v>0.0</v>
      </c>
      <c r="J5" s="26">
        <v>14.0</v>
      </c>
      <c r="K5" s="26">
        <v>24.0</v>
      </c>
      <c r="L5" s="26">
        <v>0.0</v>
      </c>
      <c r="M5" s="26">
        <v>6.0</v>
      </c>
      <c r="N5" s="26">
        <v>27.0</v>
      </c>
      <c r="O5" s="26">
        <v>0.0</v>
      </c>
      <c r="P5" s="26">
        <v>2.0</v>
      </c>
      <c r="Q5" s="26">
        <v>16.0</v>
      </c>
      <c r="R5" s="26">
        <v>0.0</v>
      </c>
      <c r="S5" s="26">
        <v>3.0</v>
      </c>
      <c r="T5" s="26">
        <v>132.0</v>
      </c>
    </row>
    <row r="6">
      <c r="A6" s="23" t="s">
        <v>6</v>
      </c>
      <c r="B6" s="26" t="s">
        <v>7</v>
      </c>
      <c r="C6" s="26" t="s">
        <v>13</v>
      </c>
      <c r="D6" s="26">
        <v>0.0</v>
      </c>
      <c r="E6" s="26">
        <v>8.0</v>
      </c>
      <c r="F6" s="26">
        <v>4.0</v>
      </c>
      <c r="G6" s="26">
        <v>7.0</v>
      </c>
      <c r="H6" s="26">
        <v>15.0</v>
      </c>
      <c r="I6" s="26">
        <v>0.0</v>
      </c>
      <c r="J6" s="26">
        <v>4.0</v>
      </c>
      <c r="K6" s="26">
        <v>20.0</v>
      </c>
      <c r="L6" s="26">
        <v>0.0</v>
      </c>
      <c r="M6" s="26">
        <v>5.0</v>
      </c>
      <c r="N6" s="26">
        <v>21.0</v>
      </c>
      <c r="O6" s="26">
        <v>9.0</v>
      </c>
      <c r="P6" s="26">
        <v>4.0</v>
      </c>
      <c r="Q6" s="26">
        <v>9.0</v>
      </c>
      <c r="R6" s="26">
        <v>62.0</v>
      </c>
      <c r="S6" s="26">
        <v>9.0</v>
      </c>
      <c r="T6" s="26">
        <v>177.0</v>
      </c>
    </row>
    <row r="7">
      <c r="A7" s="23" t="s">
        <v>6</v>
      </c>
      <c r="B7" s="26" t="s">
        <v>7</v>
      </c>
      <c r="C7" s="26" t="s">
        <v>15</v>
      </c>
      <c r="D7" s="26">
        <v>0.0</v>
      </c>
      <c r="E7" s="26">
        <v>3.0</v>
      </c>
      <c r="F7" s="26">
        <v>5.0</v>
      </c>
      <c r="G7" s="26">
        <v>14.0</v>
      </c>
      <c r="H7" s="26">
        <v>14.0</v>
      </c>
      <c r="I7" s="26">
        <v>0.0</v>
      </c>
      <c r="J7" s="26">
        <v>17.0</v>
      </c>
      <c r="K7" s="26">
        <v>25.0</v>
      </c>
      <c r="L7" s="26">
        <v>0.0</v>
      </c>
      <c r="M7" s="26">
        <v>13.0</v>
      </c>
      <c r="N7" s="26">
        <v>16.0</v>
      </c>
      <c r="O7" s="26">
        <v>0.0</v>
      </c>
      <c r="P7" s="26">
        <v>6.0</v>
      </c>
      <c r="Q7" s="26">
        <v>18.0</v>
      </c>
      <c r="R7" s="26">
        <v>0.0</v>
      </c>
      <c r="S7" s="26">
        <v>6.0</v>
      </c>
      <c r="T7" s="26">
        <v>137.0</v>
      </c>
    </row>
    <row r="8">
      <c r="A8" s="23" t="s">
        <v>6</v>
      </c>
      <c r="B8" s="26" t="s">
        <v>7</v>
      </c>
      <c r="C8" s="26" t="s">
        <v>18</v>
      </c>
      <c r="D8" s="26">
        <v>0.0</v>
      </c>
      <c r="E8" s="26">
        <v>1.0</v>
      </c>
      <c r="F8" s="26">
        <v>4.0</v>
      </c>
      <c r="G8" s="26">
        <v>6.0</v>
      </c>
      <c r="H8" s="26">
        <v>10.0</v>
      </c>
      <c r="I8" s="26">
        <v>0.0</v>
      </c>
      <c r="J8" s="26">
        <v>12.0</v>
      </c>
      <c r="K8" s="26">
        <v>24.0</v>
      </c>
      <c r="L8" s="26">
        <v>0.0</v>
      </c>
      <c r="M8" s="26">
        <v>6.0</v>
      </c>
      <c r="N8" s="26">
        <v>14.0</v>
      </c>
      <c r="O8" s="26">
        <v>0.0</v>
      </c>
      <c r="P8" s="26">
        <v>0.0</v>
      </c>
      <c r="Q8" s="26">
        <v>7.0</v>
      </c>
      <c r="R8" s="26">
        <v>0.0</v>
      </c>
      <c r="S8" s="26">
        <v>4.0</v>
      </c>
      <c r="T8" s="26">
        <v>88.0</v>
      </c>
    </row>
    <row r="9">
      <c r="A9" s="23" t="s">
        <v>6</v>
      </c>
      <c r="B9" s="26" t="s">
        <v>7</v>
      </c>
      <c r="C9" s="26" t="s">
        <v>21</v>
      </c>
      <c r="D9" s="26">
        <v>0.0</v>
      </c>
      <c r="E9" s="26">
        <v>2.0</v>
      </c>
      <c r="F9" s="26">
        <v>5.0</v>
      </c>
      <c r="G9" s="26">
        <v>3.0</v>
      </c>
      <c r="H9" s="26">
        <v>7.0</v>
      </c>
      <c r="I9" s="26">
        <v>0.0</v>
      </c>
      <c r="J9" s="26">
        <v>3.0</v>
      </c>
      <c r="K9" s="26">
        <v>12.0</v>
      </c>
      <c r="L9" s="26">
        <v>0.0</v>
      </c>
      <c r="M9" s="26">
        <v>3.0</v>
      </c>
      <c r="N9" s="26">
        <v>24.0</v>
      </c>
      <c r="O9" s="26">
        <v>0.0</v>
      </c>
      <c r="P9" s="26">
        <v>2.0</v>
      </c>
      <c r="Q9" s="26">
        <v>12.0</v>
      </c>
      <c r="R9" s="26">
        <v>0.0</v>
      </c>
      <c r="S9" s="26">
        <v>3.0</v>
      </c>
      <c r="T9" s="26">
        <v>76.0</v>
      </c>
    </row>
    <row r="10">
      <c r="A10" s="23" t="s">
        <v>6</v>
      </c>
      <c r="B10" s="26" t="s">
        <v>7</v>
      </c>
      <c r="C10" s="26" t="s">
        <v>14</v>
      </c>
      <c r="D10" s="26">
        <v>0.0</v>
      </c>
      <c r="E10" s="26">
        <v>1.0</v>
      </c>
      <c r="F10" s="26">
        <v>4.0</v>
      </c>
      <c r="G10" s="26">
        <v>8.0</v>
      </c>
      <c r="H10" s="26">
        <v>11.0</v>
      </c>
      <c r="I10" s="26">
        <v>0.0</v>
      </c>
      <c r="J10" s="26">
        <v>14.0</v>
      </c>
      <c r="K10" s="26">
        <v>20.0</v>
      </c>
      <c r="L10" s="26">
        <v>0.0</v>
      </c>
      <c r="M10" s="26">
        <v>13.0</v>
      </c>
      <c r="N10" s="26">
        <v>22.0</v>
      </c>
      <c r="O10" s="26">
        <v>0.0</v>
      </c>
      <c r="P10" s="26">
        <v>8.0</v>
      </c>
      <c r="Q10" s="26">
        <v>11.0</v>
      </c>
      <c r="R10" s="26">
        <v>0.0</v>
      </c>
      <c r="S10" s="26">
        <v>10.0</v>
      </c>
      <c r="T10" s="26">
        <v>122.0</v>
      </c>
    </row>
    <row r="11">
      <c r="A11" s="23" t="s">
        <v>6</v>
      </c>
      <c r="B11" s="26" t="s">
        <v>7</v>
      </c>
      <c r="C11" s="26" t="s">
        <v>17</v>
      </c>
      <c r="D11" s="26">
        <v>0.0</v>
      </c>
      <c r="E11" s="26">
        <v>0.0</v>
      </c>
      <c r="F11" s="26">
        <v>8.0</v>
      </c>
      <c r="G11" s="26">
        <v>2.0</v>
      </c>
      <c r="H11" s="26">
        <v>5.0</v>
      </c>
      <c r="I11" s="26">
        <v>0.0</v>
      </c>
      <c r="J11" s="26">
        <v>6.0</v>
      </c>
      <c r="K11" s="26">
        <v>14.0</v>
      </c>
      <c r="L11" s="26">
        <v>0.0</v>
      </c>
      <c r="M11" s="26">
        <v>2.0</v>
      </c>
      <c r="N11" s="26">
        <v>18.0</v>
      </c>
      <c r="O11" s="26">
        <v>0.0</v>
      </c>
      <c r="P11" s="26">
        <v>3.0</v>
      </c>
      <c r="Q11" s="26">
        <v>12.0</v>
      </c>
      <c r="R11" s="26">
        <v>0.0</v>
      </c>
      <c r="S11" s="26">
        <v>4.0</v>
      </c>
      <c r="T11" s="26">
        <v>74.0</v>
      </c>
    </row>
    <row r="12">
      <c r="A12" s="23" t="s">
        <v>6</v>
      </c>
      <c r="B12" s="26" t="s">
        <v>7</v>
      </c>
      <c r="C12" s="26" t="s">
        <v>20</v>
      </c>
      <c r="D12" s="26">
        <v>0.0</v>
      </c>
      <c r="E12" s="26">
        <v>5.0</v>
      </c>
      <c r="F12" s="26">
        <v>6.0</v>
      </c>
      <c r="G12" s="26">
        <v>1.0</v>
      </c>
      <c r="H12" s="26">
        <v>8.0</v>
      </c>
      <c r="I12" s="26">
        <v>0.0</v>
      </c>
      <c r="J12" s="26">
        <v>8.0</v>
      </c>
      <c r="K12" s="26">
        <v>16.0</v>
      </c>
      <c r="L12" s="26">
        <v>0.0</v>
      </c>
      <c r="M12" s="26">
        <v>8.0</v>
      </c>
      <c r="N12" s="26">
        <v>11.0</v>
      </c>
      <c r="O12" s="26">
        <v>0.0</v>
      </c>
      <c r="P12" s="26">
        <v>6.0</v>
      </c>
      <c r="Q12" s="26">
        <v>5.0</v>
      </c>
      <c r="R12" s="26">
        <v>0.0</v>
      </c>
      <c r="S12" s="26">
        <v>4.0</v>
      </c>
      <c r="T12" s="26">
        <v>78.0</v>
      </c>
    </row>
    <row r="13">
      <c r="A13" s="23" t="s">
        <v>6</v>
      </c>
      <c r="B13" s="26" t="s">
        <v>7</v>
      </c>
      <c r="C13" s="26" t="s">
        <v>8</v>
      </c>
      <c r="D13" s="26">
        <v>0.0</v>
      </c>
      <c r="E13" s="26">
        <v>1.0</v>
      </c>
      <c r="F13" s="26">
        <v>0.0</v>
      </c>
      <c r="G13" s="26">
        <v>0.0</v>
      </c>
      <c r="H13" s="26">
        <v>5.0</v>
      </c>
      <c r="I13" s="26">
        <v>0.0</v>
      </c>
      <c r="J13" s="26">
        <v>0.0</v>
      </c>
      <c r="K13" s="26">
        <v>12.0</v>
      </c>
      <c r="L13" s="26">
        <v>0.0</v>
      </c>
      <c r="M13" s="26">
        <v>2.0</v>
      </c>
      <c r="N13" s="26">
        <v>9.0</v>
      </c>
      <c r="O13" s="26">
        <v>0.0</v>
      </c>
      <c r="P13" s="26">
        <v>1.0</v>
      </c>
      <c r="Q13" s="26">
        <v>5.0</v>
      </c>
      <c r="R13" s="26">
        <v>0.0</v>
      </c>
      <c r="S13" s="26">
        <v>2.0</v>
      </c>
      <c r="T13" s="26">
        <v>37.0</v>
      </c>
    </row>
    <row r="14">
      <c r="A14" s="23" t="s">
        <v>6</v>
      </c>
      <c r="B14" s="26" t="s">
        <v>7</v>
      </c>
      <c r="C14" s="26" t="s">
        <v>22</v>
      </c>
      <c r="D14" s="26">
        <v>0.0</v>
      </c>
      <c r="E14" s="26">
        <v>4.0</v>
      </c>
      <c r="F14" s="26">
        <v>1.0</v>
      </c>
      <c r="G14" s="26">
        <v>0.0</v>
      </c>
      <c r="H14" s="26">
        <v>3.0</v>
      </c>
      <c r="I14" s="26">
        <v>0.0</v>
      </c>
      <c r="J14" s="26">
        <v>2.0</v>
      </c>
      <c r="K14" s="26">
        <v>12.0</v>
      </c>
      <c r="L14" s="26">
        <v>0.0</v>
      </c>
      <c r="M14" s="26">
        <v>4.0</v>
      </c>
      <c r="N14" s="26">
        <v>8.0</v>
      </c>
      <c r="O14" s="26">
        <v>0.0</v>
      </c>
      <c r="P14" s="26">
        <v>5.0</v>
      </c>
      <c r="Q14" s="26">
        <v>4.0</v>
      </c>
      <c r="R14" s="26">
        <v>0.0</v>
      </c>
      <c r="S14" s="26">
        <v>1.0</v>
      </c>
      <c r="T14" s="26">
        <v>44.0</v>
      </c>
    </row>
    <row r="15">
      <c r="A15" s="23" t="s">
        <v>6</v>
      </c>
      <c r="B15" s="26" t="s">
        <v>7</v>
      </c>
      <c r="C15" s="26" t="s">
        <v>23</v>
      </c>
      <c r="D15" s="26">
        <v>0.0</v>
      </c>
      <c r="E15" s="26">
        <v>0.0</v>
      </c>
      <c r="F15" s="26">
        <v>0.0</v>
      </c>
      <c r="G15" s="26">
        <v>0.0</v>
      </c>
      <c r="H15" s="26">
        <v>2.0</v>
      </c>
      <c r="I15" s="26">
        <v>0.0</v>
      </c>
      <c r="J15" s="26">
        <v>0.0</v>
      </c>
      <c r="K15" s="26">
        <v>2.0</v>
      </c>
      <c r="L15" s="26">
        <v>0.0</v>
      </c>
      <c r="M15" s="26">
        <v>0.0</v>
      </c>
      <c r="N15" s="26">
        <v>4.0</v>
      </c>
      <c r="O15" s="26">
        <v>0.0</v>
      </c>
      <c r="P15" s="26">
        <v>1.0</v>
      </c>
      <c r="Q15" s="26">
        <v>1.0</v>
      </c>
      <c r="R15" s="26">
        <v>0.0</v>
      </c>
      <c r="S15" s="26">
        <v>0.0</v>
      </c>
      <c r="T15" s="26">
        <v>10.0</v>
      </c>
    </row>
    <row r="16">
      <c r="A16" s="23" t="s">
        <v>6</v>
      </c>
      <c r="B16" s="26" t="s">
        <v>24</v>
      </c>
      <c r="C16" s="26" t="s">
        <v>25</v>
      </c>
      <c r="D16" s="26">
        <v>2.0</v>
      </c>
      <c r="E16" s="26">
        <v>3.0</v>
      </c>
      <c r="F16" s="26">
        <v>5.0</v>
      </c>
      <c r="G16" s="26">
        <v>2.0</v>
      </c>
      <c r="H16" s="26">
        <v>12.0</v>
      </c>
      <c r="I16" s="26">
        <v>0.0</v>
      </c>
      <c r="J16" s="26">
        <v>2.0</v>
      </c>
      <c r="K16" s="26">
        <v>16.0</v>
      </c>
      <c r="L16" s="26">
        <v>0.0</v>
      </c>
      <c r="M16" s="26">
        <v>3.0</v>
      </c>
      <c r="N16" s="26">
        <v>14.0</v>
      </c>
      <c r="O16" s="26">
        <v>9.0</v>
      </c>
      <c r="P16" s="26">
        <v>4.0</v>
      </c>
      <c r="Q16" s="26">
        <v>15.0</v>
      </c>
      <c r="R16" s="26">
        <v>15.0</v>
      </c>
      <c r="S16" s="26">
        <v>4.0</v>
      </c>
      <c r="T16" s="26">
        <v>106.0</v>
      </c>
    </row>
    <row r="17">
      <c r="A17" s="23" t="s">
        <v>6</v>
      </c>
      <c r="B17" s="26" t="s">
        <v>24</v>
      </c>
      <c r="C17" s="26" t="s">
        <v>30</v>
      </c>
      <c r="D17" s="26">
        <v>2.0</v>
      </c>
      <c r="E17" s="26">
        <v>4.0</v>
      </c>
      <c r="F17" s="26">
        <v>2.0</v>
      </c>
      <c r="G17" s="26">
        <v>1.0</v>
      </c>
      <c r="H17" s="26">
        <v>11.0</v>
      </c>
      <c r="I17" s="26">
        <v>0.0</v>
      </c>
      <c r="J17" s="26">
        <v>8.0</v>
      </c>
      <c r="K17" s="26">
        <v>9.0</v>
      </c>
      <c r="L17" s="26">
        <v>0.0</v>
      </c>
      <c r="M17" s="26">
        <v>5.0</v>
      </c>
      <c r="N17" s="26">
        <v>2.0</v>
      </c>
      <c r="O17" s="26">
        <v>0.0</v>
      </c>
      <c r="P17" s="26">
        <v>5.0</v>
      </c>
      <c r="Q17" s="26">
        <v>2.0</v>
      </c>
      <c r="R17" s="26">
        <v>1.0</v>
      </c>
      <c r="S17" s="26">
        <v>3.0</v>
      </c>
      <c r="T17" s="26">
        <v>55.0</v>
      </c>
    </row>
    <row r="18">
      <c r="A18" s="23" t="s">
        <v>6</v>
      </c>
      <c r="B18" s="26" t="s">
        <v>24</v>
      </c>
      <c r="C18" s="26" t="s">
        <v>27</v>
      </c>
      <c r="D18" s="26">
        <v>1.0</v>
      </c>
      <c r="E18" s="26">
        <v>2.0</v>
      </c>
      <c r="F18" s="26">
        <v>3.0</v>
      </c>
      <c r="G18" s="26">
        <v>2.0</v>
      </c>
      <c r="H18" s="26">
        <v>14.0</v>
      </c>
      <c r="I18" s="26">
        <v>0.0</v>
      </c>
      <c r="J18" s="26">
        <v>11.0</v>
      </c>
      <c r="K18" s="26">
        <v>19.0</v>
      </c>
      <c r="L18" s="26">
        <v>0.0</v>
      </c>
      <c r="M18" s="26">
        <v>9.0</v>
      </c>
      <c r="N18" s="26">
        <v>13.0</v>
      </c>
      <c r="O18" s="26">
        <v>0.0</v>
      </c>
      <c r="P18" s="26">
        <v>6.0</v>
      </c>
      <c r="Q18" s="26">
        <v>13.0</v>
      </c>
      <c r="R18" s="26">
        <v>0.0</v>
      </c>
      <c r="S18" s="26">
        <v>3.0</v>
      </c>
      <c r="T18" s="26">
        <v>96.0</v>
      </c>
    </row>
    <row r="19">
      <c r="A19" s="23" t="s">
        <v>6</v>
      </c>
      <c r="B19" s="26" t="s">
        <v>24</v>
      </c>
      <c r="C19" s="26" t="s">
        <v>26</v>
      </c>
      <c r="D19" s="26">
        <v>0.0</v>
      </c>
      <c r="E19" s="26">
        <v>1.0</v>
      </c>
      <c r="F19" s="26">
        <v>7.0</v>
      </c>
      <c r="G19" s="26">
        <v>5.0</v>
      </c>
      <c r="H19" s="26">
        <v>10.0</v>
      </c>
      <c r="I19" s="26">
        <v>0.0</v>
      </c>
      <c r="J19" s="26">
        <v>6.0</v>
      </c>
      <c r="K19" s="26">
        <v>6.0</v>
      </c>
      <c r="L19" s="26">
        <v>0.0</v>
      </c>
      <c r="M19" s="26">
        <v>4.0</v>
      </c>
      <c r="N19" s="26">
        <v>17.0</v>
      </c>
      <c r="O19" s="26">
        <v>0.0</v>
      </c>
      <c r="P19" s="26">
        <v>3.0</v>
      </c>
      <c r="Q19" s="26">
        <v>7.0</v>
      </c>
      <c r="R19" s="26">
        <v>0.0</v>
      </c>
      <c r="S19" s="26">
        <v>4.0</v>
      </c>
      <c r="T19" s="26">
        <v>70.0</v>
      </c>
    </row>
    <row r="20">
      <c r="A20" s="23" t="s">
        <v>6</v>
      </c>
      <c r="B20" s="26" t="s">
        <v>24</v>
      </c>
      <c r="C20" s="26" t="s">
        <v>31</v>
      </c>
      <c r="D20" s="26">
        <v>0.0</v>
      </c>
      <c r="E20" s="26">
        <v>0.0</v>
      </c>
      <c r="F20" s="26">
        <v>8.0</v>
      </c>
      <c r="G20" s="26">
        <v>0.0</v>
      </c>
      <c r="H20" s="26">
        <v>8.0</v>
      </c>
      <c r="I20" s="26">
        <v>0.0</v>
      </c>
      <c r="J20" s="26">
        <v>5.0</v>
      </c>
      <c r="K20" s="26">
        <v>12.0</v>
      </c>
      <c r="L20" s="26">
        <v>0.0</v>
      </c>
      <c r="M20" s="26">
        <v>0.0</v>
      </c>
      <c r="N20" s="26">
        <v>8.0</v>
      </c>
      <c r="O20" s="26">
        <v>0.0</v>
      </c>
      <c r="P20" s="26">
        <v>1.0</v>
      </c>
      <c r="Q20" s="26">
        <v>8.0</v>
      </c>
      <c r="R20" s="26">
        <v>0.0</v>
      </c>
      <c r="S20" s="26">
        <v>1.0</v>
      </c>
      <c r="T20" s="26">
        <v>51.0</v>
      </c>
    </row>
    <row r="21">
      <c r="A21" s="23" t="s">
        <v>6</v>
      </c>
      <c r="B21" s="26" t="s">
        <v>24</v>
      </c>
      <c r="C21" s="26" t="s">
        <v>28</v>
      </c>
      <c r="D21" s="26">
        <v>0.0</v>
      </c>
      <c r="E21" s="26">
        <v>0.0</v>
      </c>
      <c r="F21" s="26">
        <v>4.0</v>
      </c>
      <c r="G21" s="26">
        <v>2.0</v>
      </c>
      <c r="H21" s="26">
        <v>7.0</v>
      </c>
      <c r="I21" s="26">
        <v>0.0</v>
      </c>
      <c r="J21" s="26">
        <v>2.0</v>
      </c>
      <c r="K21" s="26">
        <v>9.0</v>
      </c>
      <c r="L21" s="26">
        <v>0.0</v>
      </c>
      <c r="M21" s="26">
        <v>1.0</v>
      </c>
      <c r="N21" s="26">
        <v>12.0</v>
      </c>
      <c r="O21" s="26">
        <v>0.0</v>
      </c>
      <c r="P21" s="26">
        <v>2.0</v>
      </c>
      <c r="Q21" s="26">
        <v>4.0</v>
      </c>
      <c r="R21" s="26">
        <v>0.0</v>
      </c>
      <c r="S21" s="26">
        <v>2.0</v>
      </c>
      <c r="T21" s="26">
        <v>45.0</v>
      </c>
    </row>
    <row r="22">
      <c r="A22" s="23" t="s">
        <v>6</v>
      </c>
      <c r="B22" s="26" t="s">
        <v>24</v>
      </c>
      <c r="C22" s="26" t="s">
        <v>33</v>
      </c>
      <c r="D22" s="26">
        <v>0.0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v>1.0</v>
      </c>
      <c r="L22" s="26">
        <v>0.0</v>
      </c>
      <c r="M22" s="26">
        <v>0.0</v>
      </c>
      <c r="N22" s="26">
        <v>2.0</v>
      </c>
      <c r="O22" s="26">
        <v>0.0</v>
      </c>
      <c r="P22" s="26">
        <v>0.0</v>
      </c>
      <c r="Q22" s="26">
        <v>6.0</v>
      </c>
      <c r="R22" s="26">
        <v>0.0</v>
      </c>
      <c r="S22" s="26">
        <v>2.0</v>
      </c>
      <c r="T22" s="26">
        <v>11.0</v>
      </c>
    </row>
    <row r="23">
      <c r="A23" s="23" t="s">
        <v>6</v>
      </c>
      <c r="B23" s="26" t="s">
        <v>24</v>
      </c>
      <c r="C23" s="26" t="s">
        <v>32</v>
      </c>
      <c r="D23" s="26">
        <v>0.0</v>
      </c>
      <c r="E23" s="26">
        <v>0.0</v>
      </c>
      <c r="F23" s="26">
        <v>1.0</v>
      </c>
      <c r="G23" s="26">
        <v>1.0</v>
      </c>
      <c r="H23" s="26">
        <v>3.0</v>
      </c>
      <c r="I23" s="26">
        <v>0.0</v>
      </c>
      <c r="J23" s="26">
        <v>1.0</v>
      </c>
      <c r="K23" s="26">
        <v>4.0</v>
      </c>
      <c r="L23" s="26">
        <v>0.0</v>
      </c>
      <c r="M23" s="26">
        <v>2.0</v>
      </c>
      <c r="N23" s="26">
        <v>3.0</v>
      </c>
      <c r="O23" s="26">
        <v>0.0</v>
      </c>
      <c r="P23" s="26">
        <v>1.0</v>
      </c>
      <c r="Q23" s="26">
        <v>4.0</v>
      </c>
      <c r="R23" s="26">
        <v>0.0</v>
      </c>
      <c r="S23" s="26">
        <v>2.0</v>
      </c>
      <c r="T23" s="26">
        <v>22.0</v>
      </c>
    </row>
    <row r="24">
      <c r="A24" s="23" t="s">
        <v>6</v>
      </c>
      <c r="B24" s="26" t="s">
        <v>24</v>
      </c>
      <c r="C24" s="26" t="s">
        <v>34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v>0.0</v>
      </c>
      <c r="L24" s="26">
        <v>0.0</v>
      </c>
      <c r="M24" s="26">
        <v>0.0</v>
      </c>
      <c r="N24" s="26">
        <v>2.0</v>
      </c>
      <c r="O24" s="26">
        <v>0.0</v>
      </c>
      <c r="P24" s="26">
        <v>1.0</v>
      </c>
      <c r="Q24" s="26">
        <v>3.0</v>
      </c>
      <c r="R24" s="26">
        <v>0.0</v>
      </c>
      <c r="S24" s="26">
        <v>3.0</v>
      </c>
      <c r="T24" s="26">
        <v>9.0</v>
      </c>
    </row>
    <row r="25">
      <c r="A25" s="23" t="s">
        <v>6</v>
      </c>
      <c r="B25" s="26" t="s">
        <v>35</v>
      </c>
      <c r="C25" s="26" t="s">
        <v>43</v>
      </c>
      <c r="D25" s="26">
        <v>1.0</v>
      </c>
      <c r="E25" s="26">
        <v>1.0</v>
      </c>
      <c r="F25" s="26">
        <v>3.0</v>
      </c>
      <c r="G25" s="26">
        <v>0.0</v>
      </c>
      <c r="H25" s="26">
        <v>5.0</v>
      </c>
      <c r="I25" s="26">
        <v>0.0</v>
      </c>
      <c r="J25" s="26">
        <v>7.0</v>
      </c>
      <c r="K25" s="26">
        <v>8.0</v>
      </c>
      <c r="L25" s="26">
        <v>0.0</v>
      </c>
      <c r="M25" s="26">
        <v>2.0</v>
      </c>
      <c r="N25" s="26">
        <v>8.0</v>
      </c>
      <c r="O25" s="26">
        <v>0.0</v>
      </c>
      <c r="P25" s="26">
        <v>1.0</v>
      </c>
      <c r="Q25" s="26">
        <v>6.0</v>
      </c>
      <c r="R25" s="26">
        <v>0.0</v>
      </c>
      <c r="S25" s="26">
        <v>4.0</v>
      </c>
      <c r="T25" s="26">
        <v>46.0</v>
      </c>
    </row>
    <row r="26">
      <c r="A26" s="23" t="s">
        <v>6</v>
      </c>
      <c r="B26" s="26" t="s">
        <v>35</v>
      </c>
      <c r="C26" s="26" t="s">
        <v>40</v>
      </c>
      <c r="D26" s="26">
        <v>1.0</v>
      </c>
      <c r="E26" s="26">
        <v>4.0</v>
      </c>
      <c r="F26" s="26">
        <v>3.0</v>
      </c>
      <c r="G26" s="26">
        <v>1.0</v>
      </c>
      <c r="H26" s="26">
        <v>6.0</v>
      </c>
      <c r="I26" s="26">
        <v>0.0</v>
      </c>
      <c r="J26" s="26">
        <v>5.0</v>
      </c>
      <c r="K26" s="26">
        <v>11.0</v>
      </c>
      <c r="L26" s="26">
        <v>0.0</v>
      </c>
      <c r="M26" s="26">
        <v>5.0</v>
      </c>
      <c r="N26" s="26">
        <v>4.0</v>
      </c>
      <c r="O26" s="26">
        <v>0.0</v>
      </c>
      <c r="P26" s="26">
        <v>3.0</v>
      </c>
      <c r="Q26" s="26">
        <v>5.0</v>
      </c>
      <c r="R26" s="26">
        <v>0.0</v>
      </c>
      <c r="S26" s="26">
        <v>3.0</v>
      </c>
      <c r="T26" s="26">
        <v>51.0</v>
      </c>
    </row>
    <row r="27">
      <c r="A27" s="23" t="s">
        <v>6</v>
      </c>
      <c r="B27" s="26" t="s">
        <v>35</v>
      </c>
      <c r="C27" s="26" t="s">
        <v>47</v>
      </c>
      <c r="D27" s="26">
        <v>1.0</v>
      </c>
      <c r="E27" s="26">
        <v>0.0</v>
      </c>
      <c r="F27" s="26">
        <v>0.0</v>
      </c>
      <c r="G27" s="26">
        <v>4.0</v>
      </c>
      <c r="H27" s="26">
        <v>1.0</v>
      </c>
      <c r="I27" s="26">
        <v>0.0</v>
      </c>
      <c r="J27" s="26">
        <v>5.0</v>
      </c>
      <c r="K27" s="26">
        <v>13.0</v>
      </c>
      <c r="L27" s="26">
        <v>0.0</v>
      </c>
      <c r="M27" s="26">
        <v>4.0</v>
      </c>
      <c r="N27" s="26">
        <v>18.0</v>
      </c>
      <c r="O27" s="26">
        <v>0.0</v>
      </c>
      <c r="P27" s="26">
        <v>1.0</v>
      </c>
      <c r="Q27" s="26">
        <v>11.0</v>
      </c>
      <c r="R27" s="26">
        <v>0.0</v>
      </c>
      <c r="S27" s="26">
        <v>3.0</v>
      </c>
      <c r="T27" s="26">
        <v>61.0</v>
      </c>
    </row>
    <row r="28">
      <c r="A28" s="23" t="s">
        <v>6</v>
      </c>
      <c r="B28" s="26" t="s">
        <v>35</v>
      </c>
      <c r="C28" s="26" t="s">
        <v>37</v>
      </c>
      <c r="D28" s="26">
        <v>1.0</v>
      </c>
      <c r="E28" s="26">
        <v>3.0</v>
      </c>
      <c r="F28" s="26">
        <v>0.0</v>
      </c>
      <c r="G28" s="26">
        <v>1.0</v>
      </c>
      <c r="H28" s="26">
        <v>6.0</v>
      </c>
      <c r="I28" s="26">
        <v>0.0</v>
      </c>
      <c r="J28" s="26">
        <v>8.0</v>
      </c>
      <c r="K28" s="26">
        <v>9.0</v>
      </c>
      <c r="L28" s="26">
        <v>0.0</v>
      </c>
      <c r="M28" s="26">
        <v>9.0</v>
      </c>
      <c r="N28" s="26">
        <v>14.0</v>
      </c>
      <c r="O28" s="26">
        <v>0.0</v>
      </c>
      <c r="P28" s="26">
        <v>2.0</v>
      </c>
      <c r="Q28" s="26">
        <v>11.0</v>
      </c>
      <c r="R28" s="26">
        <v>0.0</v>
      </c>
      <c r="S28" s="26">
        <v>2.0</v>
      </c>
      <c r="T28" s="26">
        <v>66.0</v>
      </c>
    </row>
    <row r="29">
      <c r="A29" s="23" t="s">
        <v>6</v>
      </c>
      <c r="B29" s="26" t="s">
        <v>35</v>
      </c>
      <c r="C29" s="26" t="s">
        <v>38</v>
      </c>
      <c r="D29" s="26">
        <v>1.0</v>
      </c>
      <c r="E29" s="26">
        <v>1.0</v>
      </c>
      <c r="F29" s="26">
        <v>4.0</v>
      </c>
      <c r="G29" s="26">
        <v>2.0</v>
      </c>
      <c r="H29" s="26">
        <v>3.0</v>
      </c>
      <c r="I29" s="26">
        <v>0.0</v>
      </c>
      <c r="J29" s="26">
        <v>4.0</v>
      </c>
      <c r="K29" s="26">
        <v>8.0</v>
      </c>
      <c r="L29" s="26">
        <v>0.0</v>
      </c>
      <c r="M29" s="26">
        <v>2.0</v>
      </c>
      <c r="N29" s="26">
        <v>9.0</v>
      </c>
      <c r="O29" s="26">
        <v>0.0</v>
      </c>
      <c r="P29" s="26">
        <v>1.0</v>
      </c>
      <c r="Q29" s="26">
        <v>12.0</v>
      </c>
      <c r="R29" s="26">
        <v>0.0</v>
      </c>
      <c r="S29" s="26">
        <v>2.0</v>
      </c>
      <c r="T29" s="26">
        <v>49.0</v>
      </c>
    </row>
    <row r="30">
      <c r="A30" s="23" t="s">
        <v>6</v>
      </c>
      <c r="B30" s="26" t="s">
        <v>35</v>
      </c>
      <c r="C30" s="26" t="s">
        <v>36</v>
      </c>
      <c r="D30" s="26">
        <v>0.0</v>
      </c>
      <c r="E30" s="26">
        <v>3.0</v>
      </c>
      <c r="F30" s="26">
        <v>4.0</v>
      </c>
      <c r="G30" s="26">
        <v>6.0</v>
      </c>
      <c r="H30" s="26">
        <v>7.0</v>
      </c>
      <c r="I30" s="26">
        <v>0.0</v>
      </c>
      <c r="J30" s="26">
        <v>3.0</v>
      </c>
      <c r="K30" s="26">
        <v>21.0</v>
      </c>
      <c r="L30" s="26">
        <v>0.0</v>
      </c>
      <c r="M30" s="26">
        <v>4.0</v>
      </c>
      <c r="N30" s="26">
        <v>15.0</v>
      </c>
      <c r="O30" s="26">
        <v>5.0</v>
      </c>
      <c r="P30" s="26">
        <v>6.0</v>
      </c>
      <c r="Q30" s="26">
        <v>12.0</v>
      </c>
      <c r="R30" s="26">
        <v>11.0</v>
      </c>
      <c r="S30" s="26">
        <v>3.0</v>
      </c>
      <c r="T30" s="26">
        <v>100.0</v>
      </c>
    </row>
    <row r="31">
      <c r="A31" s="23" t="s">
        <v>6</v>
      </c>
      <c r="B31" s="26" t="s">
        <v>35</v>
      </c>
      <c r="C31" s="26" t="s">
        <v>39</v>
      </c>
      <c r="D31" s="26">
        <v>0.0</v>
      </c>
      <c r="E31" s="26">
        <v>2.0</v>
      </c>
      <c r="F31" s="26">
        <v>6.0</v>
      </c>
      <c r="G31" s="26">
        <v>1.0</v>
      </c>
      <c r="H31" s="26">
        <v>3.0</v>
      </c>
      <c r="I31" s="26">
        <v>0.0</v>
      </c>
      <c r="J31" s="26">
        <v>7.0</v>
      </c>
      <c r="K31" s="26">
        <v>16.0</v>
      </c>
      <c r="L31" s="26">
        <v>0.0</v>
      </c>
      <c r="M31" s="26">
        <v>4.0</v>
      </c>
      <c r="N31" s="26">
        <v>17.0</v>
      </c>
      <c r="O31" s="26">
        <v>0.0</v>
      </c>
      <c r="P31" s="26">
        <v>3.0</v>
      </c>
      <c r="Q31" s="26">
        <v>6.0</v>
      </c>
      <c r="R31" s="26">
        <v>0.0</v>
      </c>
      <c r="S31" s="26">
        <v>2.0</v>
      </c>
      <c r="T31" s="26">
        <v>67.0</v>
      </c>
    </row>
    <row r="32">
      <c r="A32" s="23" t="s">
        <v>6</v>
      </c>
      <c r="B32" s="26" t="s">
        <v>35</v>
      </c>
      <c r="C32" s="26" t="s">
        <v>41</v>
      </c>
      <c r="D32" s="26">
        <v>0.0</v>
      </c>
      <c r="E32" s="26">
        <v>1.0</v>
      </c>
      <c r="F32" s="26">
        <v>7.0</v>
      </c>
      <c r="G32" s="26">
        <v>4.0</v>
      </c>
      <c r="H32" s="26">
        <v>8.0</v>
      </c>
      <c r="I32" s="26">
        <v>0.0</v>
      </c>
      <c r="J32" s="26">
        <v>2.0</v>
      </c>
      <c r="K32" s="26">
        <v>14.0</v>
      </c>
      <c r="L32" s="26">
        <v>0.0</v>
      </c>
      <c r="M32" s="26">
        <v>3.0</v>
      </c>
      <c r="N32" s="26">
        <v>13.0</v>
      </c>
      <c r="O32" s="26">
        <v>0.0</v>
      </c>
      <c r="P32" s="26">
        <v>4.0</v>
      </c>
      <c r="Q32" s="26">
        <v>7.0</v>
      </c>
      <c r="R32" s="26">
        <v>0.0</v>
      </c>
      <c r="S32" s="26">
        <v>4.0</v>
      </c>
      <c r="T32" s="26">
        <v>67.0</v>
      </c>
    </row>
    <row r="33">
      <c r="A33" s="23" t="s">
        <v>6</v>
      </c>
      <c r="B33" s="26" t="s">
        <v>35</v>
      </c>
      <c r="C33" s="26" t="s">
        <v>44</v>
      </c>
      <c r="D33" s="26">
        <v>0.0</v>
      </c>
      <c r="E33" s="26">
        <v>0.0</v>
      </c>
      <c r="F33" s="26">
        <v>1.0</v>
      </c>
      <c r="G33" s="26">
        <v>1.0</v>
      </c>
      <c r="H33" s="26">
        <v>3.0</v>
      </c>
      <c r="I33" s="26">
        <v>0.0</v>
      </c>
      <c r="J33" s="26">
        <v>4.0</v>
      </c>
      <c r="K33" s="26">
        <v>13.0</v>
      </c>
      <c r="L33" s="26">
        <v>0.0</v>
      </c>
      <c r="M33" s="26">
        <v>4.0</v>
      </c>
      <c r="N33" s="26">
        <v>7.0</v>
      </c>
      <c r="O33" s="26">
        <v>6.0</v>
      </c>
      <c r="P33" s="26">
        <v>2.0</v>
      </c>
      <c r="Q33" s="26">
        <v>6.0</v>
      </c>
      <c r="R33" s="26">
        <v>3.0</v>
      </c>
      <c r="S33" s="26">
        <v>2.0</v>
      </c>
      <c r="T33" s="26">
        <v>52.0</v>
      </c>
    </row>
    <row r="34">
      <c r="A34" s="23" t="s">
        <v>6</v>
      </c>
      <c r="B34" s="26" t="s">
        <v>35</v>
      </c>
      <c r="C34" s="26" t="s">
        <v>42</v>
      </c>
      <c r="D34" s="26">
        <v>0.0</v>
      </c>
      <c r="E34" s="26">
        <v>1.0</v>
      </c>
      <c r="F34" s="26">
        <v>1.0</v>
      </c>
      <c r="G34" s="26">
        <v>1.0</v>
      </c>
      <c r="H34" s="26">
        <v>6.0</v>
      </c>
      <c r="I34" s="26">
        <v>0.0</v>
      </c>
      <c r="J34" s="26">
        <v>1.0</v>
      </c>
      <c r="K34" s="26">
        <v>7.0</v>
      </c>
      <c r="L34" s="26">
        <v>0.0</v>
      </c>
      <c r="M34" s="26">
        <v>1.0</v>
      </c>
      <c r="N34" s="26">
        <v>9.0</v>
      </c>
      <c r="O34" s="26">
        <v>0.0</v>
      </c>
      <c r="P34" s="26">
        <v>4.0</v>
      </c>
      <c r="Q34" s="26">
        <v>2.0</v>
      </c>
      <c r="R34" s="26">
        <v>0.0</v>
      </c>
      <c r="S34" s="26">
        <v>6.0</v>
      </c>
      <c r="T34" s="26">
        <v>39.0</v>
      </c>
    </row>
    <row r="35">
      <c r="A35" s="23" t="s">
        <v>6</v>
      </c>
      <c r="B35" s="26" t="s">
        <v>35</v>
      </c>
      <c r="C35" s="26" t="s">
        <v>45</v>
      </c>
      <c r="D35" s="26">
        <v>0.0</v>
      </c>
      <c r="E35" s="26">
        <v>0.0</v>
      </c>
      <c r="F35" s="26">
        <v>0.0</v>
      </c>
      <c r="G35" s="26">
        <v>1.0</v>
      </c>
      <c r="H35" s="26">
        <v>0.0</v>
      </c>
      <c r="I35" s="26">
        <v>0.0</v>
      </c>
      <c r="J35" s="26">
        <v>0.0</v>
      </c>
      <c r="K35" s="26">
        <v>1.0</v>
      </c>
      <c r="L35" s="26">
        <v>0.0</v>
      </c>
      <c r="M35" s="26">
        <v>3.0</v>
      </c>
      <c r="N35" s="26">
        <v>4.0</v>
      </c>
      <c r="O35" s="26">
        <v>0.0</v>
      </c>
      <c r="P35" s="26">
        <v>2.0</v>
      </c>
      <c r="Q35" s="26">
        <v>5.0</v>
      </c>
      <c r="R35" s="26">
        <v>0.0</v>
      </c>
      <c r="S35" s="26">
        <v>6.0</v>
      </c>
      <c r="T35" s="26">
        <v>22.0</v>
      </c>
    </row>
    <row r="36">
      <c r="A36" s="23" t="s">
        <v>6</v>
      </c>
      <c r="B36" s="26" t="s">
        <v>35</v>
      </c>
      <c r="C36" s="26" t="s">
        <v>48</v>
      </c>
      <c r="D36" s="26">
        <v>0.0</v>
      </c>
      <c r="E36" s="26">
        <v>0.0</v>
      </c>
      <c r="F36" s="26">
        <v>3.0</v>
      </c>
      <c r="G36" s="26">
        <v>1.0</v>
      </c>
      <c r="H36" s="26">
        <v>0.0</v>
      </c>
      <c r="I36" s="26">
        <v>0.0</v>
      </c>
      <c r="J36" s="26">
        <v>1.0</v>
      </c>
      <c r="K36" s="26">
        <v>3.0</v>
      </c>
      <c r="L36" s="26">
        <v>0.0</v>
      </c>
      <c r="M36" s="26">
        <v>2.0</v>
      </c>
      <c r="N36" s="26">
        <v>2.0</v>
      </c>
      <c r="O36" s="26">
        <v>0.0</v>
      </c>
      <c r="P36" s="26">
        <v>4.0</v>
      </c>
      <c r="Q36" s="26">
        <v>4.0</v>
      </c>
      <c r="R36" s="26">
        <v>0.0</v>
      </c>
      <c r="S36" s="26">
        <v>1.0</v>
      </c>
      <c r="T36" s="26">
        <v>21.0</v>
      </c>
    </row>
    <row r="37">
      <c r="A37" s="23" t="s">
        <v>6</v>
      </c>
      <c r="B37" s="26" t="s">
        <v>35</v>
      </c>
      <c r="C37" s="26" t="s">
        <v>49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v>0.0</v>
      </c>
      <c r="L37" s="26">
        <v>0.0</v>
      </c>
      <c r="M37" s="26">
        <v>0.0</v>
      </c>
      <c r="N37" s="26">
        <v>0.0</v>
      </c>
      <c r="O37" s="26">
        <v>0.0</v>
      </c>
      <c r="P37" s="26">
        <v>0.0</v>
      </c>
      <c r="Q37" s="26">
        <v>4.0</v>
      </c>
      <c r="R37" s="26">
        <v>0.0</v>
      </c>
      <c r="S37" s="26">
        <v>0.0</v>
      </c>
      <c r="T37" s="26">
        <v>4.0</v>
      </c>
    </row>
    <row r="38">
      <c r="A38" s="23" t="s">
        <v>50</v>
      </c>
      <c r="B38" s="26" t="s">
        <v>50</v>
      </c>
      <c r="C38" s="26" t="s">
        <v>52</v>
      </c>
      <c r="D38" s="26">
        <v>1.0</v>
      </c>
      <c r="E38" s="26">
        <v>3.0</v>
      </c>
      <c r="F38" s="26">
        <v>1.0</v>
      </c>
      <c r="G38" s="26">
        <v>4.0</v>
      </c>
      <c r="H38" s="26">
        <v>7.0</v>
      </c>
      <c r="I38" s="26">
        <v>9.0</v>
      </c>
      <c r="J38" s="26">
        <v>3.0</v>
      </c>
      <c r="K38" s="26">
        <v>15.0</v>
      </c>
      <c r="L38" s="26">
        <v>7.0</v>
      </c>
      <c r="M38" s="26">
        <v>2.0</v>
      </c>
      <c r="N38" s="26">
        <v>9.0</v>
      </c>
      <c r="O38" s="26">
        <v>1.0</v>
      </c>
      <c r="P38" s="26">
        <v>0.0</v>
      </c>
      <c r="Q38" s="26">
        <v>3.0</v>
      </c>
      <c r="R38" s="26">
        <v>0.0</v>
      </c>
      <c r="S38" s="26">
        <v>4.0</v>
      </c>
      <c r="T38" s="26">
        <v>69.0</v>
      </c>
    </row>
    <row r="39">
      <c r="A39" s="23" t="s">
        <v>50</v>
      </c>
      <c r="B39" s="26" t="s">
        <v>50</v>
      </c>
      <c r="C39" s="26" t="s">
        <v>54</v>
      </c>
      <c r="D39" s="26">
        <v>1.0</v>
      </c>
      <c r="E39" s="26">
        <v>0.0</v>
      </c>
      <c r="F39" s="26">
        <v>1.0</v>
      </c>
      <c r="G39" s="26">
        <v>0.0</v>
      </c>
      <c r="H39" s="26">
        <v>3.0</v>
      </c>
      <c r="I39" s="26">
        <v>13.0</v>
      </c>
      <c r="J39" s="26">
        <v>0.0</v>
      </c>
      <c r="K39" s="26">
        <v>6.0</v>
      </c>
      <c r="L39" s="26">
        <v>7.0</v>
      </c>
      <c r="M39" s="26">
        <v>2.0</v>
      </c>
      <c r="N39" s="26">
        <v>7.0</v>
      </c>
      <c r="O39" s="26">
        <v>1.0</v>
      </c>
      <c r="P39" s="26">
        <v>1.0</v>
      </c>
      <c r="Q39" s="26">
        <v>2.0</v>
      </c>
      <c r="R39" s="26">
        <v>0.0</v>
      </c>
      <c r="S39" s="26">
        <v>2.0</v>
      </c>
      <c r="T39" s="26">
        <v>46.0</v>
      </c>
    </row>
    <row r="40">
      <c r="A40" s="23" t="s">
        <v>50</v>
      </c>
      <c r="B40" s="26" t="s">
        <v>50</v>
      </c>
      <c r="C40" s="26" t="s">
        <v>51</v>
      </c>
      <c r="D40" s="26">
        <v>0.0</v>
      </c>
      <c r="E40" s="26">
        <v>0.0</v>
      </c>
      <c r="F40" s="26">
        <v>1.0</v>
      </c>
      <c r="G40" s="26">
        <v>0.0</v>
      </c>
      <c r="H40" s="26">
        <v>9.0</v>
      </c>
      <c r="I40" s="26">
        <v>0.0</v>
      </c>
      <c r="J40" s="26">
        <v>0.0</v>
      </c>
      <c r="K40" s="26">
        <v>10.0</v>
      </c>
      <c r="L40" s="26">
        <v>0.0</v>
      </c>
      <c r="M40" s="26">
        <v>5.0</v>
      </c>
      <c r="N40" s="26">
        <v>11.0</v>
      </c>
      <c r="O40" s="26">
        <v>27.0</v>
      </c>
      <c r="P40" s="26">
        <v>2.0</v>
      </c>
      <c r="Q40" s="26">
        <v>5.0</v>
      </c>
      <c r="R40" s="26">
        <v>48.0</v>
      </c>
      <c r="S40" s="26">
        <v>4.0</v>
      </c>
      <c r="T40" s="26">
        <v>122.0</v>
      </c>
    </row>
    <row r="41">
      <c r="A41" s="23" t="s">
        <v>50</v>
      </c>
      <c r="B41" s="26" t="s">
        <v>50</v>
      </c>
      <c r="C41" s="26" t="s">
        <v>53</v>
      </c>
      <c r="D41" s="26">
        <v>0.0</v>
      </c>
      <c r="E41" s="26">
        <v>3.0</v>
      </c>
      <c r="F41" s="26">
        <v>1.0</v>
      </c>
      <c r="G41" s="26">
        <v>8.0</v>
      </c>
      <c r="H41" s="26">
        <v>7.0</v>
      </c>
      <c r="I41" s="26">
        <v>19.0</v>
      </c>
      <c r="J41" s="26">
        <v>5.0</v>
      </c>
      <c r="K41" s="26">
        <v>11.0</v>
      </c>
      <c r="L41" s="26">
        <v>12.0</v>
      </c>
      <c r="M41" s="26">
        <v>5.0</v>
      </c>
      <c r="N41" s="26">
        <v>11.0</v>
      </c>
      <c r="O41" s="26">
        <v>4.0</v>
      </c>
      <c r="P41" s="26">
        <v>3.0</v>
      </c>
      <c r="Q41" s="26">
        <v>6.0</v>
      </c>
      <c r="R41" s="26">
        <v>15.0</v>
      </c>
      <c r="S41" s="26">
        <v>9.0</v>
      </c>
      <c r="T41" s="26">
        <v>119.0</v>
      </c>
    </row>
    <row r="42">
      <c r="A42" s="23" t="s">
        <v>50</v>
      </c>
      <c r="B42" s="26" t="s">
        <v>50</v>
      </c>
      <c r="C42" s="26" t="s">
        <v>58</v>
      </c>
      <c r="D42" s="26">
        <v>0.0</v>
      </c>
      <c r="E42" s="26">
        <v>0.0</v>
      </c>
      <c r="F42" s="26">
        <v>0.0</v>
      </c>
      <c r="G42" s="26">
        <v>4.0</v>
      </c>
      <c r="H42" s="26">
        <v>3.0</v>
      </c>
      <c r="I42" s="26">
        <v>6.0</v>
      </c>
      <c r="J42" s="26">
        <v>3.0</v>
      </c>
      <c r="K42" s="26">
        <v>6.0</v>
      </c>
      <c r="L42" s="26">
        <v>15.0</v>
      </c>
      <c r="M42" s="26">
        <v>1.0</v>
      </c>
      <c r="N42" s="26">
        <v>5.0</v>
      </c>
      <c r="O42" s="26">
        <v>1.0</v>
      </c>
      <c r="P42" s="26">
        <v>2.0</v>
      </c>
      <c r="Q42" s="26">
        <v>3.0</v>
      </c>
      <c r="R42" s="26">
        <v>0.0</v>
      </c>
      <c r="S42" s="26">
        <v>1.0</v>
      </c>
      <c r="T42" s="26">
        <v>50.0</v>
      </c>
    </row>
    <row r="43">
      <c r="A43" s="23" t="s">
        <v>50</v>
      </c>
      <c r="B43" s="26" t="s">
        <v>50</v>
      </c>
      <c r="C43" s="26" t="s">
        <v>57</v>
      </c>
      <c r="D43" s="26">
        <v>0.0</v>
      </c>
      <c r="E43" s="26">
        <v>1.0</v>
      </c>
      <c r="F43" s="26">
        <v>1.0</v>
      </c>
      <c r="G43" s="26">
        <v>2.0</v>
      </c>
      <c r="H43" s="26">
        <v>6.0</v>
      </c>
      <c r="I43" s="26">
        <v>13.0</v>
      </c>
      <c r="J43" s="26">
        <v>2.0</v>
      </c>
      <c r="K43" s="26">
        <v>5.0</v>
      </c>
      <c r="L43" s="26">
        <v>5.0</v>
      </c>
      <c r="M43" s="26">
        <v>1.0</v>
      </c>
      <c r="N43" s="26">
        <v>1.0</v>
      </c>
      <c r="O43" s="26">
        <v>1.0</v>
      </c>
      <c r="P43" s="26">
        <v>1.0</v>
      </c>
      <c r="Q43" s="26">
        <v>6.0</v>
      </c>
      <c r="R43" s="26">
        <v>0.0</v>
      </c>
      <c r="S43" s="26">
        <v>2.0</v>
      </c>
      <c r="T43" s="26">
        <v>47.0</v>
      </c>
    </row>
    <row r="44">
      <c r="A44" s="23" t="s">
        <v>50</v>
      </c>
      <c r="B44" s="26" t="s">
        <v>50</v>
      </c>
      <c r="C44" s="26" t="s">
        <v>55</v>
      </c>
      <c r="D44" s="26">
        <v>0.0</v>
      </c>
      <c r="E44" s="26">
        <v>1.0</v>
      </c>
      <c r="F44" s="26">
        <v>3.0</v>
      </c>
      <c r="G44" s="26">
        <v>4.0</v>
      </c>
      <c r="H44" s="26">
        <v>8.0</v>
      </c>
      <c r="I44" s="26">
        <v>0.0</v>
      </c>
      <c r="J44" s="26">
        <v>1.0</v>
      </c>
      <c r="K44" s="26">
        <v>10.0</v>
      </c>
      <c r="L44" s="26">
        <v>0.0</v>
      </c>
      <c r="M44" s="26">
        <v>7.0</v>
      </c>
      <c r="N44" s="26">
        <v>7.0</v>
      </c>
      <c r="O44" s="26">
        <v>0.0</v>
      </c>
      <c r="P44" s="26">
        <v>2.0</v>
      </c>
      <c r="Q44" s="26">
        <v>3.0</v>
      </c>
      <c r="R44" s="26">
        <v>0.0</v>
      </c>
      <c r="S44" s="26">
        <v>0.0</v>
      </c>
      <c r="T44" s="26">
        <v>46.0</v>
      </c>
    </row>
    <row r="45">
      <c r="A45" s="23" t="s">
        <v>50</v>
      </c>
      <c r="B45" s="26" t="s">
        <v>50</v>
      </c>
      <c r="C45" s="26" t="s">
        <v>56</v>
      </c>
      <c r="D45" s="26">
        <v>0.0</v>
      </c>
      <c r="E45" s="26">
        <v>0.0</v>
      </c>
      <c r="F45" s="26">
        <v>3.0</v>
      </c>
      <c r="G45" s="26">
        <v>2.0</v>
      </c>
      <c r="H45" s="26">
        <v>2.0</v>
      </c>
      <c r="I45" s="26">
        <v>5.0</v>
      </c>
      <c r="J45" s="26">
        <v>2.0</v>
      </c>
      <c r="K45" s="26">
        <v>6.0</v>
      </c>
      <c r="L45" s="26">
        <v>3.0</v>
      </c>
      <c r="M45" s="26">
        <v>1.0</v>
      </c>
      <c r="N45" s="26">
        <v>6.0</v>
      </c>
      <c r="O45" s="26">
        <v>0.0</v>
      </c>
      <c r="P45" s="26">
        <v>0.0</v>
      </c>
      <c r="Q45" s="26">
        <v>5.0</v>
      </c>
      <c r="R45" s="26">
        <v>0.0</v>
      </c>
      <c r="S45" s="26">
        <v>2.0</v>
      </c>
      <c r="T45" s="26">
        <v>37.0</v>
      </c>
    </row>
    <row r="46">
      <c r="A46" s="23" t="s">
        <v>50</v>
      </c>
      <c r="B46" s="26" t="s">
        <v>59</v>
      </c>
      <c r="C46" s="26" t="s">
        <v>61</v>
      </c>
      <c r="D46" s="26">
        <v>12.0</v>
      </c>
      <c r="E46" s="26">
        <v>1.0</v>
      </c>
      <c r="F46" s="26">
        <v>15.0</v>
      </c>
      <c r="G46" s="26">
        <v>2.0</v>
      </c>
      <c r="H46" s="26">
        <v>32.0</v>
      </c>
      <c r="I46" s="26">
        <v>0.0</v>
      </c>
      <c r="J46" s="26">
        <v>5.0</v>
      </c>
      <c r="K46" s="26">
        <v>57.0</v>
      </c>
      <c r="L46" s="26">
        <v>0.0</v>
      </c>
      <c r="M46" s="26">
        <v>3.0</v>
      </c>
      <c r="N46" s="26">
        <v>39.0</v>
      </c>
      <c r="O46" s="26">
        <v>0.0</v>
      </c>
      <c r="P46" s="26">
        <v>5.0</v>
      </c>
      <c r="Q46" s="26">
        <v>45.0</v>
      </c>
      <c r="R46" s="26">
        <v>0.0</v>
      </c>
      <c r="S46" s="26">
        <v>3.0</v>
      </c>
      <c r="T46" s="26">
        <v>219.0</v>
      </c>
    </row>
    <row r="47">
      <c r="A47" s="23" t="s">
        <v>50</v>
      </c>
      <c r="B47" s="26" t="s">
        <v>59</v>
      </c>
      <c r="C47" s="26" t="s">
        <v>63</v>
      </c>
      <c r="D47" s="26">
        <v>4.0</v>
      </c>
      <c r="E47" s="26">
        <v>3.0</v>
      </c>
      <c r="F47" s="26">
        <v>2.0</v>
      </c>
      <c r="G47" s="26">
        <v>4.0</v>
      </c>
      <c r="H47" s="26">
        <v>10.0</v>
      </c>
      <c r="I47" s="26">
        <v>0.0</v>
      </c>
      <c r="J47" s="26">
        <v>5.0</v>
      </c>
      <c r="K47" s="26">
        <v>29.0</v>
      </c>
      <c r="L47" s="26">
        <v>0.0</v>
      </c>
      <c r="M47" s="26">
        <v>7.0</v>
      </c>
      <c r="N47" s="26">
        <v>5.0</v>
      </c>
      <c r="O47" s="26">
        <v>0.0</v>
      </c>
      <c r="P47" s="26">
        <v>2.0</v>
      </c>
      <c r="Q47" s="26">
        <v>14.0</v>
      </c>
      <c r="R47" s="26">
        <v>0.0</v>
      </c>
      <c r="S47" s="26">
        <v>1.0</v>
      </c>
      <c r="T47" s="26">
        <v>86.0</v>
      </c>
    </row>
    <row r="48">
      <c r="A48" s="23" t="s">
        <v>50</v>
      </c>
      <c r="B48" s="26" t="s">
        <v>59</v>
      </c>
      <c r="C48" s="26" t="s">
        <v>62</v>
      </c>
      <c r="D48" s="26">
        <v>2.0</v>
      </c>
      <c r="E48" s="26">
        <v>2.0</v>
      </c>
      <c r="F48" s="26">
        <v>9.0</v>
      </c>
      <c r="G48" s="26">
        <v>4.0</v>
      </c>
      <c r="H48" s="26">
        <v>24.0</v>
      </c>
      <c r="I48" s="26">
        <v>0.0</v>
      </c>
      <c r="J48" s="26">
        <v>2.0</v>
      </c>
      <c r="K48" s="26">
        <v>28.0</v>
      </c>
      <c r="L48" s="26">
        <v>0.0</v>
      </c>
      <c r="M48" s="26">
        <v>3.0</v>
      </c>
      <c r="N48" s="26">
        <v>20.0</v>
      </c>
      <c r="O48" s="26">
        <v>18.0</v>
      </c>
      <c r="P48" s="26">
        <v>1.0</v>
      </c>
      <c r="Q48" s="26">
        <v>16.0</v>
      </c>
      <c r="R48" s="26">
        <v>17.0</v>
      </c>
      <c r="S48" s="26">
        <v>0.0</v>
      </c>
      <c r="T48" s="26">
        <v>146.0</v>
      </c>
    </row>
    <row r="49">
      <c r="A49" s="23" t="s">
        <v>50</v>
      </c>
      <c r="B49" s="26" t="s">
        <v>59</v>
      </c>
      <c r="C49" s="26" t="s">
        <v>65</v>
      </c>
      <c r="D49" s="26">
        <v>0.0</v>
      </c>
      <c r="E49" s="26">
        <v>2.0</v>
      </c>
      <c r="F49" s="26">
        <v>8.0</v>
      </c>
      <c r="G49" s="26">
        <v>2.0</v>
      </c>
      <c r="H49" s="26">
        <v>8.0</v>
      </c>
      <c r="I49" s="26">
        <v>29.0</v>
      </c>
      <c r="J49" s="26">
        <v>3.0</v>
      </c>
      <c r="K49" s="26">
        <v>9.0</v>
      </c>
      <c r="L49" s="26">
        <v>44.0</v>
      </c>
      <c r="M49" s="26">
        <v>6.0</v>
      </c>
      <c r="N49" s="26">
        <v>7.0</v>
      </c>
      <c r="O49" s="26">
        <v>6.0</v>
      </c>
      <c r="P49" s="26">
        <v>2.0</v>
      </c>
      <c r="Q49" s="26">
        <v>6.0</v>
      </c>
      <c r="R49" s="26">
        <v>53.0</v>
      </c>
      <c r="S49" s="26">
        <v>6.0</v>
      </c>
      <c r="T49" s="26">
        <v>191.0</v>
      </c>
    </row>
    <row r="50">
      <c r="A50" s="23" t="s">
        <v>50</v>
      </c>
      <c r="B50" s="26" t="s">
        <v>59</v>
      </c>
      <c r="C50" s="26" t="s">
        <v>66</v>
      </c>
      <c r="D50" s="26">
        <v>0.0</v>
      </c>
      <c r="E50" s="26">
        <v>1.0</v>
      </c>
      <c r="F50" s="26">
        <v>2.0</v>
      </c>
      <c r="G50" s="26">
        <v>1.0</v>
      </c>
      <c r="H50" s="26">
        <v>2.0</v>
      </c>
      <c r="I50" s="26">
        <v>9.0</v>
      </c>
      <c r="J50" s="26">
        <v>3.0</v>
      </c>
      <c r="K50" s="26">
        <v>4.0</v>
      </c>
      <c r="L50" s="26">
        <v>7.0</v>
      </c>
      <c r="M50" s="26">
        <v>0.0</v>
      </c>
      <c r="N50" s="26">
        <v>6.0</v>
      </c>
      <c r="O50" s="26">
        <v>0.0</v>
      </c>
      <c r="P50" s="26">
        <v>4.0</v>
      </c>
      <c r="Q50" s="26">
        <v>1.0</v>
      </c>
      <c r="R50" s="26">
        <v>0.0</v>
      </c>
      <c r="S50" s="26">
        <v>1.0</v>
      </c>
      <c r="T50" s="26">
        <v>41.0</v>
      </c>
    </row>
    <row r="51">
      <c r="A51" s="23" t="s">
        <v>50</v>
      </c>
      <c r="B51" s="26" t="s">
        <v>68</v>
      </c>
      <c r="C51" s="26" t="s">
        <v>69</v>
      </c>
      <c r="D51" s="26">
        <v>2.0</v>
      </c>
      <c r="E51" s="26">
        <v>1.0</v>
      </c>
      <c r="F51" s="26">
        <v>13.0</v>
      </c>
      <c r="G51" s="26">
        <v>1.0</v>
      </c>
      <c r="H51" s="26">
        <v>18.0</v>
      </c>
      <c r="I51" s="26">
        <v>0.0</v>
      </c>
      <c r="J51" s="26">
        <v>4.0</v>
      </c>
      <c r="K51" s="26">
        <v>46.0</v>
      </c>
      <c r="L51" s="26">
        <v>0.0</v>
      </c>
      <c r="M51" s="26">
        <v>2.0</v>
      </c>
      <c r="N51" s="26">
        <v>33.0</v>
      </c>
      <c r="O51" s="26">
        <v>33.0</v>
      </c>
      <c r="P51" s="26">
        <v>3.0</v>
      </c>
      <c r="Q51" s="26">
        <v>31.0</v>
      </c>
      <c r="R51" s="26">
        <v>118.0</v>
      </c>
      <c r="S51" s="26">
        <v>4.0</v>
      </c>
      <c r="T51" s="26">
        <v>309.0</v>
      </c>
    </row>
    <row r="52">
      <c r="A52" s="23" t="s">
        <v>50</v>
      </c>
      <c r="B52" s="26" t="s">
        <v>68</v>
      </c>
      <c r="C52" s="26" t="s">
        <v>71</v>
      </c>
      <c r="D52" s="26">
        <v>2.0</v>
      </c>
      <c r="E52" s="26">
        <v>0.0</v>
      </c>
      <c r="F52" s="26">
        <v>2.0</v>
      </c>
      <c r="G52" s="26">
        <v>2.0</v>
      </c>
      <c r="H52" s="26">
        <v>13.0</v>
      </c>
      <c r="I52" s="26">
        <v>0.0</v>
      </c>
      <c r="J52" s="26">
        <v>0.0</v>
      </c>
      <c r="K52" s="26">
        <v>10.0</v>
      </c>
      <c r="L52" s="26">
        <v>0.0</v>
      </c>
      <c r="M52" s="26">
        <v>1.0</v>
      </c>
      <c r="N52" s="26">
        <v>6.0</v>
      </c>
      <c r="O52" s="26">
        <v>0.0</v>
      </c>
      <c r="P52" s="26">
        <v>1.0</v>
      </c>
      <c r="Q52" s="26">
        <v>5.0</v>
      </c>
      <c r="R52" s="26">
        <v>0.0</v>
      </c>
      <c r="S52" s="26">
        <v>0.0</v>
      </c>
      <c r="T52" s="26">
        <v>42.0</v>
      </c>
    </row>
    <row r="53">
      <c r="A53" s="23" t="s">
        <v>50</v>
      </c>
      <c r="B53" s="26" t="s">
        <v>68</v>
      </c>
      <c r="C53" s="26" t="s">
        <v>72</v>
      </c>
      <c r="D53" s="26">
        <v>2.0</v>
      </c>
      <c r="E53" s="26">
        <v>0.0</v>
      </c>
      <c r="F53" s="26">
        <v>3.0</v>
      </c>
      <c r="G53" s="26">
        <v>2.0</v>
      </c>
      <c r="H53" s="26">
        <v>16.0</v>
      </c>
      <c r="I53" s="26">
        <v>0.0</v>
      </c>
      <c r="J53" s="26">
        <v>3.0</v>
      </c>
      <c r="K53" s="26">
        <v>14.0</v>
      </c>
      <c r="L53" s="26">
        <v>0.0</v>
      </c>
      <c r="M53" s="26">
        <v>3.0</v>
      </c>
      <c r="N53" s="26">
        <v>7.0</v>
      </c>
      <c r="O53" s="26">
        <v>0.0</v>
      </c>
      <c r="P53" s="26">
        <v>5.0</v>
      </c>
      <c r="Q53" s="26">
        <v>11.0</v>
      </c>
      <c r="R53" s="26">
        <v>0.0</v>
      </c>
      <c r="S53" s="26">
        <v>2.0</v>
      </c>
      <c r="T53" s="26">
        <v>68.0</v>
      </c>
    </row>
    <row r="54">
      <c r="A54" s="23" t="s">
        <v>50</v>
      </c>
      <c r="B54" s="26" t="s">
        <v>68</v>
      </c>
      <c r="C54" s="26" t="s">
        <v>70</v>
      </c>
      <c r="D54" s="26">
        <v>1.0</v>
      </c>
      <c r="E54" s="26">
        <v>4.0</v>
      </c>
      <c r="F54" s="26">
        <v>1.0</v>
      </c>
      <c r="G54" s="26">
        <v>1.0</v>
      </c>
      <c r="H54" s="26">
        <v>18.0</v>
      </c>
      <c r="I54" s="26">
        <v>0.0</v>
      </c>
      <c r="J54" s="26">
        <v>1.0</v>
      </c>
      <c r="K54" s="26">
        <v>13.0</v>
      </c>
      <c r="L54" s="26">
        <v>0.0</v>
      </c>
      <c r="M54" s="26">
        <v>7.0</v>
      </c>
      <c r="N54" s="26">
        <v>15.0</v>
      </c>
      <c r="O54" s="26">
        <v>0.0</v>
      </c>
      <c r="P54" s="26">
        <v>0.0</v>
      </c>
      <c r="Q54" s="26">
        <v>11.0</v>
      </c>
      <c r="R54" s="26">
        <v>0.0</v>
      </c>
      <c r="S54" s="26">
        <v>5.0</v>
      </c>
      <c r="T54" s="26">
        <v>77.0</v>
      </c>
    </row>
    <row r="55">
      <c r="A55" s="23" t="s">
        <v>50</v>
      </c>
      <c r="B55" s="26" t="s">
        <v>68</v>
      </c>
      <c r="C55" s="26" t="s">
        <v>74</v>
      </c>
      <c r="D55" s="26">
        <v>0.0</v>
      </c>
      <c r="E55" s="26">
        <v>0.0</v>
      </c>
      <c r="F55" s="26">
        <v>1.0</v>
      </c>
      <c r="G55" s="26">
        <v>0.0</v>
      </c>
      <c r="H55" s="26">
        <v>4.0</v>
      </c>
      <c r="I55" s="26">
        <v>0.0</v>
      </c>
      <c r="J55" s="26">
        <v>2.0</v>
      </c>
      <c r="K55" s="26">
        <v>9.0</v>
      </c>
      <c r="L55" s="26">
        <v>0.0</v>
      </c>
      <c r="M55" s="26">
        <v>1.0</v>
      </c>
      <c r="N55" s="26">
        <v>11.0</v>
      </c>
      <c r="O55" s="26">
        <v>0.0</v>
      </c>
      <c r="P55" s="26">
        <v>0.0</v>
      </c>
      <c r="Q55" s="26">
        <v>8.0</v>
      </c>
      <c r="R55" s="26">
        <v>0.0</v>
      </c>
      <c r="S55" s="26">
        <v>0.0</v>
      </c>
      <c r="T55" s="26">
        <v>36.0</v>
      </c>
    </row>
    <row r="56">
      <c r="A56" s="23" t="s">
        <v>76</v>
      </c>
      <c r="B56" s="26" t="s">
        <v>77</v>
      </c>
      <c r="C56" s="26" t="s">
        <v>79</v>
      </c>
      <c r="D56" s="26">
        <v>2.0</v>
      </c>
      <c r="E56" s="26">
        <v>0.0</v>
      </c>
      <c r="F56" s="26">
        <v>8.0</v>
      </c>
      <c r="G56" s="26">
        <v>2.0</v>
      </c>
      <c r="H56" s="26">
        <v>24.0</v>
      </c>
      <c r="I56" s="26">
        <v>0.0</v>
      </c>
      <c r="J56" s="26">
        <v>8.0</v>
      </c>
      <c r="K56" s="26">
        <v>28.0</v>
      </c>
      <c r="L56" s="26">
        <v>0.0</v>
      </c>
      <c r="M56" s="26">
        <v>9.0</v>
      </c>
      <c r="N56" s="26">
        <v>24.0</v>
      </c>
      <c r="O56" s="26">
        <v>6.0</v>
      </c>
      <c r="P56" s="26">
        <v>5.0</v>
      </c>
      <c r="Q56" s="26">
        <v>25.0</v>
      </c>
      <c r="R56" s="26">
        <v>15.0</v>
      </c>
      <c r="S56" s="26">
        <v>7.0</v>
      </c>
      <c r="T56" s="26">
        <v>163.0</v>
      </c>
    </row>
    <row r="57">
      <c r="A57" s="23" t="s">
        <v>76</v>
      </c>
      <c r="B57" s="26" t="s">
        <v>77</v>
      </c>
      <c r="C57" s="26" t="s">
        <v>84</v>
      </c>
      <c r="D57" s="26">
        <v>1.0</v>
      </c>
      <c r="E57" s="26">
        <v>0.0</v>
      </c>
      <c r="F57" s="26">
        <v>0.0</v>
      </c>
      <c r="G57" s="26">
        <v>2.0</v>
      </c>
      <c r="H57" s="26">
        <v>0.0</v>
      </c>
      <c r="I57" s="26">
        <v>0.0</v>
      </c>
      <c r="J57" s="26">
        <v>3.0</v>
      </c>
      <c r="K57" s="26">
        <v>4.0</v>
      </c>
      <c r="L57" s="26">
        <v>0.0</v>
      </c>
      <c r="M57" s="26">
        <v>1.0</v>
      </c>
      <c r="N57" s="26">
        <v>4.0</v>
      </c>
      <c r="O57" s="26">
        <v>0.0</v>
      </c>
      <c r="P57" s="26">
        <v>3.0</v>
      </c>
      <c r="Q57" s="26">
        <v>4.0</v>
      </c>
      <c r="R57" s="26">
        <v>0.0</v>
      </c>
      <c r="S57" s="26">
        <v>5.0</v>
      </c>
      <c r="T57" s="26">
        <v>27.0</v>
      </c>
    </row>
    <row r="58">
      <c r="A58" s="23" t="s">
        <v>76</v>
      </c>
      <c r="B58" s="26" t="s">
        <v>77</v>
      </c>
      <c r="C58" s="26" t="s">
        <v>86</v>
      </c>
      <c r="D58" s="26">
        <v>1.0</v>
      </c>
      <c r="E58" s="26">
        <v>2.0</v>
      </c>
      <c r="F58" s="26">
        <v>0.0</v>
      </c>
      <c r="G58" s="26">
        <v>3.0</v>
      </c>
      <c r="H58" s="26">
        <v>3.0</v>
      </c>
      <c r="I58" s="26">
        <v>0.0</v>
      </c>
      <c r="J58" s="26">
        <v>12.0</v>
      </c>
      <c r="K58" s="26">
        <v>7.0</v>
      </c>
      <c r="L58" s="26">
        <v>0.0</v>
      </c>
      <c r="M58" s="26">
        <v>9.0</v>
      </c>
      <c r="N58" s="26">
        <v>8.0</v>
      </c>
      <c r="O58" s="26">
        <v>0.0</v>
      </c>
      <c r="P58" s="26">
        <v>12.0</v>
      </c>
      <c r="Q58" s="26">
        <v>9.0</v>
      </c>
      <c r="R58" s="26">
        <v>0.0</v>
      </c>
      <c r="S58" s="26">
        <v>11.0</v>
      </c>
      <c r="T58" s="26">
        <v>77.0</v>
      </c>
    </row>
    <row r="59">
      <c r="A59" s="23" t="s">
        <v>76</v>
      </c>
      <c r="B59" s="26" t="s">
        <v>77</v>
      </c>
      <c r="C59" s="26" t="s">
        <v>85</v>
      </c>
      <c r="D59" s="26">
        <v>1.0</v>
      </c>
      <c r="E59" s="26">
        <v>6.0</v>
      </c>
      <c r="F59" s="26">
        <v>3.0</v>
      </c>
      <c r="G59" s="26">
        <v>4.0</v>
      </c>
      <c r="H59" s="26">
        <v>4.0</v>
      </c>
      <c r="I59" s="26">
        <v>0.0</v>
      </c>
      <c r="J59" s="26">
        <v>7.0</v>
      </c>
      <c r="K59" s="26">
        <v>4.0</v>
      </c>
      <c r="L59" s="26">
        <v>0.0</v>
      </c>
      <c r="M59" s="26">
        <v>6.0</v>
      </c>
      <c r="N59" s="26">
        <v>10.0</v>
      </c>
      <c r="O59" s="26">
        <v>0.0</v>
      </c>
      <c r="P59" s="26">
        <v>8.0</v>
      </c>
      <c r="Q59" s="26">
        <v>9.0</v>
      </c>
      <c r="R59" s="26">
        <v>0.0</v>
      </c>
      <c r="S59" s="26">
        <v>14.0</v>
      </c>
      <c r="T59" s="26">
        <v>76.0</v>
      </c>
    </row>
    <row r="60">
      <c r="A60" s="23" t="s">
        <v>76</v>
      </c>
      <c r="B60" s="26" t="s">
        <v>77</v>
      </c>
      <c r="C60" s="26" t="s">
        <v>81</v>
      </c>
      <c r="D60" s="26">
        <v>1.0</v>
      </c>
      <c r="E60" s="26">
        <v>1.0</v>
      </c>
      <c r="F60" s="26">
        <v>8.0</v>
      </c>
      <c r="G60" s="26">
        <v>1.0</v>
      </c>
      <c r="H60" s="26">
        <v>13.0</v>
      </c>
      <c r="I60" s="26">
        <v>0.0</v>
      </c>
      <c r="J60" s="26">
        <v>6.0</v>
      </c>
      <c r="K60" s="26">
        <v>13.0</v>
      </c>
      <c r="L60" s="26">
        <v>0.0</v>
      </c>
      <c r="M60" s="26">
        <v>5.0</v>
      </c>
      <c r="N60" s="26">
        <v>8.0</v>
      </c>
      <c r="O60" s="26">
        <v>0.0</v>
      </c>
      <c r="P60" s="26">
        <v>3.0</v>
      </c>
      <c r="Q60" s="26">
        <v>9.0</v>
      </c>
      <c r="R60" s="26">
        <v>0.0</v>
      </c>
      <c r="S60" s="26">
        <v>2.0</v>
      </c>
      <c r="T60" s="26">
        <v>70.0</v>
      </c>
    </row>
    <row r="61">
      <c r="A61" s="23" t="s">
        <v>76</v>
      </c>
      <c r="B61" s="26" t="s">
        <v>77</v>
      </c>
      <c r="C61" s="26" t="s">
        <v>82</v>
      </c>
      <c r="D61" s="26">
        <v>1.0</v>
      </c>
      <c r="E61" s="26">
        <v>1.0</v>
      </c>
      <c r="F61" s="26">
        <v>4.0</v>
      </c>
      <c r="G61" s="26">
        <v>0.0</v>
      </c>
      <c r="H61" s="26">
        <v>4.0</v>
      </c>
      <c r="I61" s="26">
        <v>0.0</v>
      </c>
      <c r="J61" s="26">
        <v>1.0</v>
      </c>
      <c r="K61" s="26">
        <v>9.0</v>
      </c>
      <c r="L61" s="26">
        <v>0.0</v>
      </c>
      <c r="M61" s="26">
        <v>0.0</v>
      </c>
      <c r="N61" s="26">
        <v>6.0</v>
      </c>
      <c r="O61" s="26">
        <v>0.0</v>
      </c>
      <c r="P61" s="26">
        <v>0.0</v>
      </c>
      <c r="Q61" s="26">
        <v>8.0</v>
      </c>
      <c r="R61" s="26">
        <v>0.0</v>
      </c>
      <c r="S61" s="26">
        <v>0.0</v>
      </c>
      <c r="T61" s="26">
        <v>34.0</v>
      </c>
    </row>
    <row r="62">
      <c r="A62" s="23" t="s">
        <v>76</v>
      </c>
      <c r="B62" s="26" t="s">
        <v>77</v>
      </c>
      <c r="C62" s="26" t="s">
        <v>78</v>
      </c>
      <c r="D62" s="26">
        <v>0.0</v>
      </c>
      <c r="E62" s="26">
        <v>2.0</v>
      </c>
      <c r="F62" s="26">
        <v>7.0</v>
      </c>
      <c r="G62" s="26">
        <v>8.0</v>
      </c>
      <c r="H62" s="26">
        <v>8.0</v>
      </c>
      <c r="I62" s="26">
        <v>0.0</v>
      </c>
      <c r="J62" s="26">
        <v>11.0</v>
      </c>
      <c r="K62" s="26">
        <v>15.0</v>
      </c>
      <c r="L62" s="26">
        <v>0.0</v>
      </c>
      <c r="M62" s="26">
        <v>9.0</v>
      </c>
      <c r="N62" s="26">
        <v>21.0</v>
      </c>
      <c r="O62" s="26">
        <v>3.0</v>
      </c>
      <c r="P62" s="26">
        <v>9.0</v>
      </c>
      <c r="Q62" s="26">
        <v>11.0</v>
      </c>
      <c r="R62" s="26">
        <v>25.0</v>
      </c>
      <c r="S62" s="26">
        <v>10.0</v>
      </c>
      <c r="T62" s="26">
        <v>139.0</v>
      </c>
    </row>
    <row r="63">
      <c r="A63" s="23" t="s">
        <v>76</v>
      </c>
      <c r="B63" s="26" t="s">
        <v>77</v>
      </c>
      <c r="C63" s="26" t="s">
        <v>83</v>
      </c>
      <c r="D63" s="26">
        <v>0.0</v>
      </c>
      <c r="E63" s="26">
        <v>2.0</v>
      </c>
      <c r="F63" s="26">
        <v>3.0</v>
      </c>
      <c r="G63" s="26">
        <v>0.0</v>
      </c>
      <c r="H63" s="26">
        <v>7.0</v>
      </c>
      <c r="I63" s="26">
        <v>0.0</v>
      </c>
      <c r="J63" s="26">
        <v>2.0</v>
      </c>
      <c r="K63" s="26">
        <v>14.0</v>
      </c>
      <c r="L63" s="26">
        <v>0.0</v>
      </c>
      <c r="M63" s="26">
        <v>3.0</v>
      </c>
      <c r="N63" s="26">
        <v>18.0</v>
      </c>
      <c r="O63" s="26">
        <v>0.0</v>
      </c>
      <c r="P63" s="26">
        <v>5.0</v>
      </c>
      <c r="Q63" s="26">
        <v>4.0</v>
      </c>
      <c r="R63" s="26">
        <v>0.0</v>
      </c>
      <c r="S63" s="26">
        <v>1.0</v>
      </c>
      <c r="T63" s="26">
        <v>59.0</v>
      </c>
    </row>
    <row r="64">
      <c r="A64" s="23" t="s">
        <v>76</v>
      </c>
      <c r="B64" s="26" t="s">
        <v>77</v>
      </c>
      <c r="C64" s="26" t="s">
        <v>87</v>
      </c>
      <c r="D64" s="26">
        <v>0.0</v>
      </c>
      <c r="E64" s="26">
        <v>0.0</v>
      </c>
      <c r="F64" s="26">
        <v>0.0</v>
      </c>
      <c r="G64" s="26">
        <v>1.0</v>
      </c>
      <c r="H64" s="26">
        <v>5.0</v>
      </c>
      <c r="I64" s="26">
        <v>0.0</v>
      </c>
      <c r="J64" s="26">
        <v>4.0</v>
      </c>
      <c r="K64" s="26">
        <v>7.0</v>
      </c>
      <c r="L64" s="26">
        <v>0.0</v>
      </c>
      <c r="M64" s="26">
        <v>2.0</v>
      </c>
      <c r="N64" s="26">
        <v>7.0</v>
      </c>
      <c r="O64" s="26">
        <v>0.0</v>
      </c>
      <c r="P64" s="26">
        <v>3.0</v>
      </c>
      <c r="Q64" s="26">
        <v>13.0</v>
      </c>
      <c r="R64" s="26">
        <v>0.0</v>
      </c>
      <c r="S64" s="26">
        <v>3.0</v>
      </c>
      <c r="T64" s="26">
        <v>45.0</v>
      </c>
    </row>
    <row r="65">
      <c r="A65" s="23" t="s">
        <v>76</v>
      </c>
      <c r="B65" s="26" t="s">
        <v>77</v>
      </c>
      <c r="C65" s="26" t="s">
        <v>88</v>
      </c>
      <c r="D65" s="26">
        <v>0.0</v>
      </c>
      <c r="E65" s="26">
        <v>0.0</v>
      </c>
      <c r="F65" s="26">
        <v>0.0</v>
      </c>
      <c r="G65" s="26">
        <v>5.0</v>
      </c>
      <c r="H65" s="26">
        <v>6.0</v>
      </c>
      <c r="I65" s="26">
        <v>0.0</v>
      </c>
      <c r="J65" s="26">
        <v>7.0</v>
      </c>
      <c r="K65" s="26">
        <v>7.0</v>
      </c>
      <c r="L65" s="26">
        <v>0.0</v>
      </c>
      <c r="M65" s="26">
        <v>6.0</v>
      </c>
      <c r="N65" s="26">
        <v>10.0</v>
      </c>
      <c r="O65" s="26">
        <v>0.0</v>
      </c>
      <c r="P65" s="26">
        <v>8.0</v>
      </c>
      <c r="Q65" s="26">
        <v>10.0</v>
      </c>
      <c r="R65" s="26">
        <v>0.0</v>
      </c>
      <c r="S65" s="26">
        <v>7.0</v>
      </c>
      <c r="T65" s="26">
        <v>66.0</v>
      </c>
    </row>
    <row r="66">
      <c r="A66" s="23" t="s">
        <v>76</v>
      </c>
      <c r="B66" s="26" t="s">
        <v>77</v>
      </c>
      <c r="C66" s="26" t="s">
        <v>89</v>
      </c>
      <c r="D66" s="26">
        <v>0.0</v>
      </c>
      <c r="E66" s="26">
        <v>0.0</v>
      </c>
      <c r="F66" s="26">
        <v>0.0</v>
      </c>
      <c r="G66" s="26">
        <v>0.0</v>
      </c>
      <c r="H66" s="26">
        <v>0.0</v>
      </c>
      <c r="I66" s="26">
        <v>0.0</v>
      </c>
      <c r="J66" s="26">
        <v>0.0</v>
      </c>
      <c r="K66" s="26">
        <v>0.0</v>
      </c>
      <c r="L66" s="26">
        <v>0.0</v>
      </c>
      <c r="M66" s="26">
        <v>0.0</v>
      </c>
      <c r="N66" s="26">
        <v>2.0</v>
      </c>
      <c r="O66" s="26">
        <v>0.0</v>
      </c>
      <c r="P66" s="26">
        <v>0.0</v>
      </c>
      <c r="Q66" s="26">
        <v>5.0</v>
      </c>
      <c r="R66" s="26">
        <v>0.0</v>
      </c>
      <c r="S66" s="26">
        <v>0.0</v>
      </c>
      <c r="T66" s="26">
        <v>7.0</v>
      </c>
    </row>
    <row r="67">
      <c r="A67" s="23" t="s">
        <v>76</v>
      </c>
      <c r="B67" s="26" t="s">
        <v>90</v>
      </c>
      <c r="C67" s="26" t="s">
        <v>93</v>
      </c>
      <c r="D67" s="26">
        <v>5.0</v>
      </c>
      <c r="E67" s="26">
        <v>18.0</v>
      </c>
      <c r="F67" s="26">
        <v>32.0</v>
      </c>
      <c r="G67" s="26">
        <v>28.0</v>
      </c>
      <c r="H67" s="26">
        <v>35.0</v>
      </c>
      <c r="I67" s="26">
        <v>0.0</v>
      </c>
      <c r="J67" s="26">
        <v>30.0</v>
      </c>
      <c r="K67" s="26">
        <v>32.0</v>
      </c>
      <c r="L67" s="26">
        <v>0.0</v>
      </c>
      <c r="M67" s="26">
        <v>39.0</v>
      </c>
      <c r="N67" s="26">
        <v>34.0</v>
      </c>
      <c r="O67" s="26">
        <v>0.0</v>
      </c>
      <c r="P67" s="26">
        <v>36.0</v>
      </c>
      <c r="Q67" s="26">
        <v>36.0</v>
      </c>
      <c r="R67" s="26">
        <v>0.0</v>
      </c>
      <c r="S67" s="26">
        <v>30.0</v>
      </c>
      <c r="T67" s="26">
        <v>355.0</v>
      </c>
    </row>
    <row r="68">
      <c r="A68" s="23" t="s">
        <v>76</v>
      </c>
      <c r="B68" s="26" t="s">
        <v>90</v>
      </c>
      <c r="C68" s="26" t="s">
        <v>94</v>
      </c>
      <c r="D68" s="26">
        <v>4.0</v>
      </c>
      <c r="E68" s="26">
        <v>11.0</v>
      </c>
      <c r="F68" s="26">
        <v>7.0</v>
      </c>
      <c r="G68" s="26">
        <v>7.0</v>
      </c>
      <c r="H68" s="26">
        <v>12.0</v>
      </c>
      <c r="I68" s="26">
        <v>0.0</v>
      </c>
      <c r="J68" s="26">
        <v>5.0</v>
      </c>
      <c r="K68" s="26">
        <v>13.0</v>
      </c>
      <c r="L68" s="26">
        <v>0.0</v>
      </c>
      <c r="M68" s="26">
        <v>13.0</v>
      </c>
      <c r="N68" s="26">
        <v>21.0</v>
      </c>
      <c r="O68" s="26">
        <v>0.0</v>
      </c>
      <c r="P68" s="26">
        <v>14.0</v>
      </c>
      <c r="Q68" s="26">
        <v>28.0</v>
      </c>
      <c r="R68" s="26">
        <v>0.0</v>
      </c>
      <c r="S68" s="26">
        <v>18.0</v>
      </c>
      <c r="T68" s="26">
        <v>153.0</v>
      </c>
    </row>
    <row r="69">
      <c r="A69" s="23" t="s">
        <v>76</v>
      </c>
      <c r="B69" s="26" t="s">
        <v>90</v>
      </c>
      <c r="C69" s="26" t="s">
        <v>97</v>
      </c>
      <c r="D69" s="26">
        <v>2.0</v>
      </c>
      <c r="E69" s="26">
        <v>4.0</v>
      </c>
      <c r="F69" s="26">
        <v>13.0</v>
      </c>
      <c r="G69" s="26">
        <v>11.0</v>
      </c>
      <c r="H69" s="26">
        <v>7.0</v>
      </c>
      <c r="I69" s="26">
        <v>0.0</v>
      </c>
      <c r="J69" s="26">
        <v>11.0</v>
      </c>
      <c r="K69" s="26">
        <v>11.0</v>
      </c>
      <c r="L69" s="26">
        <v>0.0</v>
      </c>
      <c r="M69" s="26">
        <v>4.0</v>
      </c>
      <c r="N69" s="26">
        <v>14.0</v>
      </c>
      <c r="O69" s="26">
        <v>0.0</v>
      </c>
      <c r="P69" s="26">
        <v>11.0</v>
      </c>
      <c r="Q69" s="26">
        <v>7.0</v>
      </c>
      <c r="R69" s="26">
        <v>0.0</v>
      </c>
      <c r="S69" s="26">
        <v>14.0</v>
      </c>
      <c r="T69" s="26">
        <v>109.0</v>
      </c>
    </row>
    <row r="70">
      <c r="A70" s="23" t="s">
        <v>76</v>
      </c>
      <c r="B70" s="26" t="s">
        <v>90</v>
      </c>
      <c r="C70" s="26" t="s">
        <v>96</v>
      </c>
      <c r="D70" s="26">
        <v>2.0</v>
      </c>
      <c r="E70" s="26">
        <v>2.0</v>
      </c>
      <c r="F70" s="26">
        <v>4.0</v>
      </c>
      <c r="G70" s="26">
        <v>0.0</v>
      </c>
      <c r="H70" s="26">
        <v>2.0</v>
      </c>
      <c r="I70" s="26">
        <v>0.0</v>
      </c>
      <c r="J70" s="26">
        <v>4.0</v>
      </c>
      <c r="K70" s="26">
        <v>3.0</v>
      </c>
      <c r="L70" s="26">
        <v>0.0</v>
      </c>
      <c r="M70" s="26">
        <v>2.0</v>
      </c>
      <c r="N70" s="26">
        <v>8.0</v>
      </c>
      <c r="O70" s="26">
        <v>2.0</v>
      </c>
      <c r="P70" s="26">
        <v>4.0</v>
      </c>
      <c r="Q70" s="26">
        <v>7.0</v>
      </c>
      <c r="R70" s="26">
        <v>2.0</v>
      </c>
      <c r="S70" s="26">
        <v>5.0</v>
      </c>
      <c r="T70" s="26">
        <v>47.0</v>
      </c>
    </row>
    <row r="71">
      <c r="A71" s="23" t="s">
        <v>76</v>
      </c>
      <c r="B71" s="26" t="s">
        <v>90</v>
      </c>
      <c r="C71" s="26" t="s">
        <v>99</v>
      </c>
      <c r="D71" s="26">
        <v>1.0</v>
      </c>
      <c r="E71" s="26">
        <v>0.0</v>
      </c>
      <c r="F71" s="26">
        <v>14.0</v>
      </c>
      <c r="G71" s="26">
        <v>4.0</v>
      </c>
      <c r="H71" s="26">
        <v>16.0</v>
      </c>
      <c r="I71" s="26">
        <v>0.0</v>
      </c>
      <c r="J71" s="26">
        <v>7.0</v>
      </c>
      <c r="K71" s="26">
        <v>16.0</v>
      </c>
      <c r="L71" s="26">
        <v>0.0</v>
      </c>
      <c r="M71" s="26">
        <v>7.0</v>
      </c>
      <c r="N71" s="26">
        <v>12.0</v>
      </c>
      <c r="O71" s="26">
        <v>0.0</v>
      </c>
      <c r="P71" s="26">
        <v>8.0</v>
      </c>
      <c r="Q71" s="26">
        <v>13.0</v>
      </c>
      <c r="R71" s="26">
        <v>0.0</v>
      </c>
      <c r="S71" s="26">
        <v>8.0</v>
      </c>
      <c r="T71" s="26">
        <v>106.0</v>
      </c>
    </row>
    <row r="72">
      <c r="A72" s="23" t="s">
        <v>76</v>
      </c>
      <c r="B72" s="26" t="s">
        <v>90</v>
      </c>
      <c r="C72" s="26" t="s">
        <v>100</v>
      </c>
      <c r="D72" s="26">
        <v>0.0</v>
      </c>
      <c r="E72" s="26">
        <v>0.0</v>
      </c>
      <c r="F72" s="26">
        <v>0.0</v>
      </c>
      <c r="G72" s="26">
        <v>15.0</v>
      </c>
      <c r="H72" s="26">
        <v>7.0</v>
      </c>
      <c r="I72" s="26">
        <v>0.0</v>
      </c>
      <c r="J72" s="26">
        <v>20.0</v>
      </c>
      <c r="K72" s="26">
        <v>16.0</v>
      </c>
      <c r="L72" s="26">
        <v>0.0</v>
      </c>
      <c r="M72" s="26">
        <v>19.0</v>
      </c>
      <c r="N72" s="26">
        <v>14.0</v>
      </c>
      <c r="O72" s="26">
        <v>0.0</v>
      </c>
      <c r="P72" s="26">
        <v>33.0</v>
      </c>
      <c r="Q72" s="26">
        <v>15.0</v>
      </c>
      <c r="R72" s="26">
        <v>0.0</v>
      </c>
      <c r="S72" s="26">
        <v>33.0</v>
      </c>
      <c r="T72" s="26">
        <v>172.0</v>
      </c>
    </row>
    <row r="73">
      <c r="A73" s="23" t="s">
        <v>76</v>
      </c>
      <c r="B73" s="26" t="s">
        <v>90</v>
      </c>
      <c r="C73" s="26" t="s">
        <v>95</v>
      </c>
      <c r="D73" s="26">
        <v>0.0</v>
      </c>
      <c r="E73" s="26">
        <v>1.0</v>
      </c>
      <c r="F73" s="26">
        <v>4.0</v>
      </c>
      <c r="G73" s="26">
        <v>4.0</v>
      </c>
      <c r="H73" s="26">
        <v>8.0</v>
      </c>
      <c r="I73" s="26">
        <v>0.0</v>
      </c>
      <c r="J73" s="26">
        <v>7.0</v>
      </c>
      <c r="K73" s="26">
        <v>12.0</v>
      </c>
      <c r="L73" s="26">
        <v>0.0</v>
      </c>
      <c r="M73" s="26">
        <v>2.0</v>
      </c>
      <c r="N73" s="26">
        <v>16.0</v>
      </c>
      <c r="O73" s="26">
        <v>0.0</v>
      </c>
      <c r="P73" s="26">
        <v>11.0</v>
      </c>
      <c r="Q73" s="26">
        <v>15.0</v>
      </c>
      <c r="R73" s="26">
        <v>0.0</v>
      </c>
      <c r="S73" s="26">
        <v>9.0</v>
      </c>
      <c r="T73" s="26">
        <v>89.0</v>
      </c>
    </row>
    <row r="74">
      <c r="A74" s="23" t="s">
        <v>76</v>
      </c>
      <c r="B74" s="26" t="s">
        <v>90</v>
      </c>
      <c r="C74" s="26" t="s">
        <v>98</v>
      </c>
      <c r="D74" s="26">
        <v>0.0</v>
      </c>
      <c r="E74" s="26">
        <v>3.0</v>
      </c>
      <c r="F74" s="26">
        <v>3.0</v>
      </c>
      <c r="G74" s="26">
        <v>6.0</v>
      </c>
      <c r="H74" s="26">
        <v>3.0</v>
      </c>
      <c r="I74" s="26">
        <v>0.0</v>
      </c>
      <c r="J74" s="26">
        <v>5.0</v>
      </c>
      <c r="K74" s="26">
        <v>8.0</v>
      </c>
      <c r="L74" s="26">
        <v>0.0</v>
      </c>
      <c r="M74" s="26">
        <v>8.0</v>
      </c>
      <c r="N74" s="26">
        <v>9.0</v>
      </c>
      <c r="O74" s="26">
        <v>1.0</v>
      </c>
      <c r="P74" s="26">
        <v>3.0</v>
      </c>
      <c r="Q74" s="26">
        <v>7.0</v>
      </c>
      <c r="R74" s="26">
        <v>6.0</v>
      </c>
      <c r="S74" s="26">
        <v>4.0</v>
      </c>
      <c r="T74" s="26">
        <v>66.0</v>
      </c>
    </row>
    <row r="75">
      <c r="A75" s="23" t="s">
        <v>76</v>
      </c>
      <c r="B75" s="26" t="s">
        <v>90</v>
      </c>
      <c r="C75" s="26" t="s">
        <v>91</v>
      </c>
      <c r="D75" s="26">
        <v>0.0</v>
      </c>
      <c r="E75" s="26">
        <v>0.0</v>
      </c>
      <c r="F75" s="26">
        <v>0.0</v>
      </c>
      <c r="G75" s="26">
        <v>0.0</v>
      </c>
      <c r="H75" s="26">
        <v>1.0</v>
      </c>
      <c r="I75" s="26">
        <v>0.0</v>
      </c>
      <c r="J75" s="26">
        <v>4.0</v>
      </c>
      <c r="K75" s="26">
        <v>2.0</v>
      </c>
      <c r="L75" s="26">
        <v>0.0</v>
      </c>
      <c r="M75" s="26">
        <v>1.0</v>
      </c>
      <c r="N75" s="26">
        <v>2.0</v>
      </c>
      <c r="O75" s="26">
        <v>0.0</v>
      </c>
      <c r="P75" s="26">
        <v>7.0</v>
      </c>
      <c r="Q75" s="26">
        <v>2.0</v>
      </c>
      <c r="R75" s="26">
        <v>0.0</v>
      </c>
      <c r="S75" s="26">
        <v>0.0</v>
      </c>
      <c r="T75" s="26">
        <v>19.0</v>
      </c>
    </row>
    <row r="76">
      <c r="A76" s="23" t="s">
        <v>76</v>
      </c>
      <c r="B76" s="26" t="s">
        <v>90</v>
      </c>
      <c r="C76" s="26" t="s">
        <v>101</v>
      </c>
      <c r="D76" s="26">
        <v>0.0</v>
      </c>
      <c r="E76" s="26">
        <v>0.0</v>
      </c>
      <c r="F76" s="26">
        <v>0.0</v>
      </c>
      <c r="G76" s="26">
        <v>0.0</v>
      </c>
      <c r="H76" s="26">
        <v>0.0</v>
      </c>
      <c r="I76" s="26">
        <v>0.0</v>
      </c>
      <c r="J76" s="26">
        <v>0.0</v>
      </c>
      <c r="K76" s="26">
        <v>0.0</v>
      </c>
      <c r="L76" s="26">
        <v>0.0</v>
      </c>
      <c r="M76" s="26">
        <v>0.0</v>
      </c>
      <c r="N76" s="26">
        <v>0.0</v>
      </c>
      <c r="O76" s="26">
        <v>0.0</v>
      </c>
      <c r="P76" s="26">
        <v>0.0</v>
      </c>
      <c r="Q76" s="26">
        <v>2.0</v>
      </c>
      <c r="R76" s="26">
        <v>0.0</v>
      </c>
      <c r="S76" s="26">
        <v>0.0</v>
      </c>
      <c r="T76" s="26">
        <v>2.0</v>
      </c>
    </row>
    <row r="77">
      <c r="A77" s="23" t="s">
        <v>102</v>
      </c>
      <c r="B77" s="26" t="s">
        <v>103</v>
      </c>
      <c r="C77" s="26" t="s">
        <v>111</v>
      </c>
      <c r="D77" s="26">
        <v>2.0</v>
      </c>
      <c r="E77" s="26">
        <v>0.0</v>
      </c>
      <c r="F77" s="26">
        <v>0.0</v>
      </c>
      <c r="G77" s="26">
        <v>8.0</v>
      </c>
      <c r="H77" s="26">
        <v>1.0</v>
      </c>
      <c r="I77" s="26">
        <v>0.0</v>
      </c>
      <c r="J77" s="26">
        <v>9.0</v>
      </c>
      <c r="K77" s="26">
        <v>4.0</v>
      </c>
      <c r="L77" s="26">
        <v>0.0</v>
      </c>
      <c r="M77" s="26">
        <v>3.0</v>
      </c>
      <c r="N77" s="26">
        <v>5.0</v>
      </c>
      <c r="O77" s="26">
        <v>0.0</v>
      </c>
      <c r="P77" s="26">
        <v>8.0</v>
      </c>
      <c r="Q77" s="26">
        <v>1.0</v>
      </c>
      <c r="R77" s="26">
        <v>0.0</v>
      </c>
      <c r="S77" s="26">
        <v>6.0</v>
      </c>
      <c r="T77" s="26">
        <v>47.0</v>
      </c>
    </row>
    <row r="78">
      <c r="A78" s="23" t="s">
        <v>102</v>
      </c>
      <c r="B78" s="26" t="s">
        <v>103</v>
      </c>
      <c r="C78" s="26" t="s">
        <v>109</v>
      </c>
      <c r="D78" s="26">
        <v>2.0</v>
      </c>
      <c r="E78" s="26">
        <v>2.0</v>
      </c>
      <c r="F78" s="26">
        <v>8.0</v>
      </c>
      <c r="G78" s="26">
        <v>5.0</v>
      </c>
      <c r="H78" s="26">
        <v>22.0</v>
      </c>
      <c r="I78" s="26">
        <v>0.0</v>
      </c>
      <c r="J78" s="26">
        <v>6.0</v>
      </c>
      <c r="K78" s="26">
        <v>30.0</v>
      </c>
      <c r="L78" s="26">
        <v>0.0</v>
      </c>
      <c r="M78" s="26">
        <v>12.0</v>
      </c>
      <c r="N78" s="26">
        <v>26.0</v>
      </c>
      <c r="O78" s="26">
        <v>0.0</v>
      </c>
      <c r="P78" s="26">
        <v>24.0</v>
      </c>
      <c r="Q78" s="26">
        <v>19.0</v>
      </c>
      <c r="R78" s="26">
        <v>0.0</v>
      </c>
      <c r="S78" s="26">
        <v>20.0</v>
      </c>
      <c r="T78" s="26">
        <v>176.0</v>
      </c>
    </row>
    <row r="79">
      <c r="A79" s="23" t="s">
        <v>102</v>
      </c>
      <c r="B79" s="26" t="s">
        <v>103</v>
      </c>
      <c r="C79" s="26" t="s">
        <v>110</v>
      </c>
      <c r="D79" s="26">
        <v>2.0</v>
      </c>
      <c r="E79" s="26">
        <v>4.0</v>
      </c>
      <c r="F79" s="26">
        <v>3.0</v>
      </c>
      <c r="G79" s="26">
        <v>7.0</v>
      </c>
      <c r="H79" s="26">
        <v>7.0</v>
      </c>
      <c r="I79" s="26">
        <v>0.0</v>
      </c>
      <c r="J79" s="26">
        <v>17.0</v>
      </c>
      <c r="K79" s="26">
        <v>16.0</v>
      </c>
      <c r="L79" s="26">
        <v>0.0</v>
      </c>
      <c r="M79" s="26">
        <v>11.0</v>
      </c>
      <c r="N79" s="26">
        <v>13.0</v>
      </c>
      <c r="O79" s="26">
        <v>0.0</v>
      </c>
      <c r="P79" s="26">
        <v>21.0</v>
      </c>
      <c r="Q79" s="26">
        <v>29.0</v>
      </c>
      <c r="R79" s="26">
        <v>0.0</v>
      </c>
      <c r="S79" s="26">
        <v>16.0</v>
      </c>
      <c r="T79" s="26">
        <v>146.0</v>
      </c>
    </row>
    <row r="80">
      <c r="A80" s="23" t="s">
        <v>102</v>
      </c>
      <c r="B80" s="26" t="s">
        <v>103</v>
      </c>
      <c r="C80" s="26" t="s">
        <v>106</v>
      </c>
      <c r="D80" s="26">
        <v>0.0</v>
      </c>
      <c r="E80" s="26">
        <v>8.0</v>
      </c>
      <c r="F80" s="26">
        <v>2.0</v>
      </c>
      <c r="G80" s="26">
        <v>17.0</v>
      </c>
      <c r="H80" s="26">
        <v>6.0</v>
      </c>
      <c r="I80" s="26">
        <v>0.0</v>
      </c>
      <c r="J80" s="26">
        <v>41.0</v>
      </c>
      <c r="K80" s="26">
        <v>18.0</v>
      </c>
      <c r="L80" s="26">
        <v>0.0</v>
      </c>
      <c r="M80" s="26">
        <v>36.0</v>
      </c>
      <c r="N80" s="26">
        <v>25.0</v>
      </c>
      <c r="O80" s="26">
        <v>4.0</v>
      </c>
      <c r="P80" s="26">
        <v>38.0</v>
      </c>
      <c r="Q80" s="26">
        <v>25.0</v>
      </c>
      <c r="R80" s="26">
        <v>7.0</v>
      </c>
      <c r="S80" s="26">
        <v>33.0</v>
      </c>
      <c r="T80" s="26">
        <v>260.0</v>
      </c>
    </row>
    <row r="81">
      <c r="A81" s="23" t="s">
        <v>102</v>
      </c>
      <c r="B81" s="26" t="s">
        <v>103</v>
      </c>
      <c r="C81" s="26" t="s">
        <v>107</v>
      </c>
      <c r="D81" s="26">
        <v>0.0</v>
      </c>
      <c r="E81" s="26">
        <v>2.0</v>
      </c>
      <c r="F81" s="26">
        <v>4.0</v>
      </c>
      <c r="G81" s="26">
        <v>10.0</v>
      </c>
      <c r="H81" s="26">
        <v>2.0</v>
      </c>
      <c r="I81" s="26">
        <v>0.0</v>
      </c>
      <c r="J81" s="26">
        <v>21.0</v>
      </c>
      <c r="K81" s="26">
        <v>13.0</v>
      </c>
      <c r="L81" s="26">
        <v>0.0</v>
      </c>
      <c r="M81" s="26">
        <v>22.0</v>
      </c>
      <c r="N81" s="26">
        <v>9.0</v>
      </c>
      <c r="O81" s="26">
        <v>0.0</v>
      </c>
      <c r="P81" s="26">
        <v>26.0</v>
      </c>
      <c r="Q81" s="26">
        <v>14.0</v>
      </c>
      <c r="R81" s="26">
        <v>0.0</v>
      </c>
      <c r="S81" s="26">
        <v>30.0</v>
      </c>
      <c r="T81" s="26">
        <v>153.0</v>
      </c>
    </row>
    <row r="82">
      <c r="A82" s="23" t="s">
        <v>102</v>
      </c>
      <c r="B82" s="26" t="s">
        <v>103</v>
      </c>
      <c r="C82" s="26" t="s">
        <v>105</v>
      </c>
      <c r="D82" s="26">
        <v>0.0</v>
      </c>
      <c r="E82" s="26">
        <v>5.0</v>
      </c>
      <c r="F82" s="26">
        <v>3.0</v>
      </c>
      <c r="G82" s="26">
        <v>20.0</v>
      </c>
      <c r="H82" s="26">
        <v>6.0</v>
      </c>
      <c r="I82" s="26">
        <v>0.0</v>
      </c>
      <c r="J82" s="26">
        <v>16.0</v>
      </c>
      <c r="K82" s="26">
        <v>12.0</v>
      </c>
      <c r="L82" s="26">
        <v>0.0</v>
      </c>
      <c r="M82" s="26">
        <v>16.0</v>
      </c>
      <c r="N82" s="26">
        <v>15.0</v>
      </c>
      <c r="O82" s="26">
        <v>0.0</v>
      </c>
      <c r="P82" s="26">
        <v>11.0</v>
      </c>
      <c r="Q82" s="26">
        <v>13.0</v>
      </c>
      <c r="R82" s="26">
        <v>0.0</v>
      </c>
      <c r="S82" s="26">
        <v>13.0</v>
      </c>
      <c r="T82" s="26">
        <v>130.0</v>
      </c>
    </row>
    <row r="83">
      <c r="A83" s="23" t="s">
        <v>102</v>
      </c>
      <c r="B83" s="26" t="s">
        <v>103</v>
      </c>
      <c r="C83" s="26" t="s">
        <v>112</v>
      </c>
      <c r="D83" s="26">
        <v>0.0</v>
      </c>
      <c r="E83" s="26">
        <v>0.0</v>
      </c>
      <c r="F83" s="26">
        <v>0.0</v>
      </c>
      <c r="G83" s="26">
        <v>5.0</v>
      </c>
      <c r="H83" s="26">
        <v>0.0</v>
      </c>
      <c r="I83" s="26">
        <v>0.0</v>
      </c>
      <c r="J83" s="26">
        <v>11.0</v>
      </c>
      <c r="K83" s="26">
        <v>3.0</v>
      </c>
      <c r="L83" s="26">
        <v>0.0</v>
      </c>
      <c r="M83" s="26">
        <v>16.0</v>
      </c>
      <c r="N83" s="26">
        <v>4.0</v>
      </c>
      <c r="O83" s="26">
        <v>0.0</v>
      </c>
      <c r="P83" s="26">
        <v>14.0</v>
      </c>
      <c r="Q83" s="26">
        <v>9.0</v>
      </c>
      <c r="R83" s="26">
        <v>0.0</v>
      </c>
      <c r="S83" s="26">
        <v>20.0</v>
      </c>
      <c r="T83" s="26">
        <v>82.0</v>
      </c>
    </row>
    <row r="84">
      <c r="A84" s="23" t="s">
        <v>102</v>
      </c>
      <c r="B84" s="26" t="s">
        <v>103</v>
      </c>
      <c r="C84" s="26" t="s">
        <v>108</v>
      </c>
      <c r="D84" s="26">
        <v>0.0</v>
      </c>
      <c r="E84" s="26">
        <v>0.0</v>
      </c>
      <c r="F84" s="26">
        <v>1.0</v>
      </c>
      <c r="G84" s="26">
        <v>5.0</v>
      </c>
      <c r="H84" s="26">
        <v>4.0</v>
      </c>
      <c r="I84" s="26">
        <v>0.0</v>
      </c>
      <c r="J84" s="26">
        <v>7.0</v>
      </c>
      <c r="K84" s="26">
        <v>7.0</v>
      </c>
      <c r="L84" s="26">
        <v>0.0</v>
      </c>
      <c r="M84" s="26">
        <v>8.0</v>
      </c>
      <c r="N84" s="26">
        <v>5.0</v>
      </c>
      <c r="O84" s="26">
        <v>0.0</v>
      </c>
      <c r="P84" s="26">
        <v>19.0</v>
      </c>
      <c r="Q84" s="26">
        <v>6.0</v>
      </c>
      <c r="R84" s="26">
        <v>0.0</v>
      </c>
      <c r="S84" s="26">
        <v>10.0</v>
      </c>
      <c r="T84" s="26">
        <v>72.0</v>
      </c>
    </row>
    <row r="85">
      <c r="A85" s="23" t="s">
        <v>102</v>
      </c>
      <c r="B85" s="26" t="s">
        <v>103</v>
      </c>
      <c r="C85" s="26" t="s">
        <v>104</v>
      </c>
      <c r="D85" s="26">
        <v>0.0</v>
      </c>
      <c r="E85" s="26">
        <v>4.0</v>
      </c>
      <c r="F85" s="26">
        <v>9.0</v>
      </c>
      <c r="G85" s="26">
        <v>7.0</v>
      </c>
      <c r="H85" s="26">
        <v>10.0</v>
      </c>
      <c r="I85" s="26">
        <v>0.0</v>
      </c>
      <c r="J85" s="26">
        <v>13.0</v>
      </c>
      <c r="K85" s="26">
        <v>8.0</v>
      </c>
      <c r="L85" s="26">
        <v>0.0</v>
      </c>
      <c r="M85" s="26">
        <v>11.0</v>
      </c>
      <c r="N85" s="26">
        <v>8.0</v>
      </c>
      <c r="O85" s="26">
        <v>2.0</v>
      </c>
      <c r="P85" s="26">
        <v>17.0</v>
      </c>
      <c r="Q85" s="26">
        <v>9.0</v>
      </c>
      <c r="R85" s="26">
        <v>0.0</v>
      </c>
      <c r="S85" s="26">
        <v>14.0</v>
      </c>
      <c r="T85" s="26">
        <v>112.0</v>
      </c>
    </row>
    <row r="86">
      <c r="A86" s="23" t="s">
        <v>102</v>
      </c>
      <c r="B86" s="26" t="s">
        <v>103</v>
      </c>
      <c r="C86" s="26" t="s">
        <v>113</v>
      </c>
      <c r="D86" s="26">
        <v>0.0</v>
      </c>
      <c r="E86" s="26">
        <v>0.0</v>
      </c>
      <c r="F86" s="26">
        <v>2.0</v>
      </c>
      <c r="G86" s="26">
        <v>2.0</v>
      </c>
      <c r="H86" s="26">
        <v>6.0</v>
      </c>
      <c r="I86" s="26">
        <v>0.0</v>
      </c>
      <c r="J86" s="26">
        <v>1.0</v>
      </c>
      <c r="K86" s="26">
        <v>9.0</v>
      </c>
      <c r="L86" s="26">
        <v>0.0</v>
      </c>
      <c r="M86" s="26">
        <v>7.0</v>
      </c>
      <c r="N86" s="26">
        <v>8.0</v>
      </c>
      <c r="O86" s="26">
        <v>0.0</v>
      </c>
      <c r="P86" s="26">
        <v>10.0</v>
      </c>
      <c r="Q86" s="26">
        <v>9.0</v>
      </c>
      <c r="R86" s="26">
        <v>0.0</v>
      </c>
      <c r="S86" s="26">
        <v>7.0</v>
      </c>
      <c r="T86" s="26">
        <v>61.0</v>
      </c>
    </row>
    <row r="87">
      <c r="A87" s="23" t="s">
        <v>102</v>
      </c>
      <c r="B87" s="26" t="s">
        <v>103</v>
      </c>
      <c r="C87" s="26" t="s">
        <v>114</v>
      </c>
      <c r="D87" s="26">
        <v>0.0</v>
      </c>
      <c r="E87" s="26">
        <v>0.0</v>
      </c>
      <c r="F87" s="26">
        <v>0.0</v>
      </c>
      <c r="G87" s="26">
        <v>0.0</v>
      </c>
      <c r="H87" s="26">
        <v>0.0</v>
      </c>
      <c r="I87" s="26">
        <v>0.0</v>
      </c>
      <c r="J87" s="26">
        <v>0.0</v>
      </c>
      <c r="K87" s="26">
        <v>0.0</v>
      </c>
      <c r="L87" s="26">
        <v>0.0</v>
      </c>
      <c r="M87" s="26">
        <v>0.0</v>
      </c>
      <c r="N87" s="26">
        <v>0.0</v>
      </c>
      <c r="O87" s="26">
        <v>0.0</v>
      </c>
      <c r="P87" s="26">
        <v>0.0</v>
      </c>
      <c r="Q87" s="26">
        <v>4.0</v>
      </c>
      <c r="R87" s="26">
        <v>0.0</v>
      </c>
      <c r="S87" s="26">
        <v>5.0</v>
      </c>
      <c r="T87" s="26">
        <v>9.0</v>
      </c>
    </row>
    <row r="88">
      <c r="A88" s="23" t="s">
        <v>102</v>
      </c>
      <c r="B88" s="26" t="s">
        <v>115</v>
      </c>
      <c r="C88" s="26" t="s">
        <v>118</v>
      </c>
      <c r="D88" s="26">
        <v>5.0</v>
      </c>
      <c r="E88" s="26">
        <v>5.0</v>
      </c>
      <c r="F88" s="26">
        <v>13.0</v>
      </c>
      <c r="G88" s="26">
        <v>29.0</v>
      </c>
      <c r="H88" s="26">
        <v>17.0</v>
      </c>
      <c r="I88" s="26">
        <v>0.0</v>
      </c>
      <c r="J88" s="26">
        <v>30.0</v>
      </c>
      <c r="K88" s="26">
        <v>35.0</v>
      </c>
      <c r="L88" s="26">
        <v>0.0</v>
      </c>
      <c r="M88" s="26">
        <v>60.0</v>
      </c>
      <c r="N88" s="26">
        <v>39.0</v>
      </c>
      <c r="O88" s="26">
        <v>0.0</v>
      </c>
      <c r="P88" s="26">
        <v>55.0</v>
      </c>
      <c r="Q88" s="26">
        <v>33.0</v>
      </c>
      <c r="R88" s="26">
        <v>0.0</v>
      </c>
      <c r="S88" s="26">
        <v>53.0</v>
      </c>
      <c r="T88" s="26">
        <v>374.0</v>
      </c>
    </row>
    <row r="89">
      <c r="A89" s="23" t="s">
        <v>102</v>
      </c>
      <c r="B89" s="26" t="s">
        <v>115</v>
      </c>
      <c r="C89" s="26" t="s">
        <v>119</v>
      </c>
      <c r="D89" s="26">
        <v>2.0</v>
      </c>
      <c r="E89" s="26">
        <v>10.0</v>
      </c>
      <c r="F89" s="26">
        <v>6.0</v>
      </c>
      <c r="G89" s="26">
        <v>20.0</v>
      </c>
      <c r="H89" s="26">
        <v>11.0</v>
      </c>
      <c r="I89" s="26">
        <v>0.0</v>
      </c>
      <c r="J89" s="26">
        <v>34.0</v>
      </c>
      <c r="K89" s="26">
        <v>14.0</v>
      </c>
      <c r="L89" s="26">
        <v>0.0</v>
      </c>
      <c r="M89" s="26">
        <v>43.0</v>
      </c>
      <c r="N89" s="26">
        <v>26.0</v>
      </c>
      <c r="O89" s="26">
        <v>0.0</v>
      </c>
      <c r="P89" s="26">
        <v>28.0</v>
      </c>
      <c r="Q89" s="26">
        <v>18.0</v>
      </c>
      <c r="R89" s="26">
        <v>0.0</v>
      </c>
      <c r="S89" s="26">
        <v>24.0</v>
      </c>
      <c r="T89" s="26">
        <v>236.0</v>
      </c>
    </row>
    <row r="90">
      <c r="A90" s="23" t="s">
        <v>102</v>
      </c>
      <c r="B90" s="26" t="s">
        <v>115</v>
      </c>
      <c r="C90" s="26" t="s">
        <v>121</v>
      </c>
      <c r="D90" s="26">
        <v>2.0</v>
      </c>
      <c r="E90" s="26">
        <v>4.0</v>
      </c>
      <c r="F90" s="26">
        <v>6.0</v>
      </c>
      <c r="G90" s="26">
        <v>10.0</v>
      </c>
      <c r="H90" s="26">
        <v>4.0</v>
      </c>
      <c r="I90" s="26">
        <v>0.0</v>
      </c>
      <c r="J90" s="26">
        <v>17.0</v>
      </c>
      <c r="K90" s="26">
        <v>13.0</v>
      </c>
      <c r="L90" s="26">
        <v>0.0</v>
      </c>
      <c r="M90" s="26">
        <v>25.0</v>
      </c>
      <c r="N90" s="26">
        <v>27.0</v>
      </c>
      <c r="O90" s="26">
        <v>0.0</v>
      </c>
      <c r="P90" s="26">
        <v>42.0</v>
      </c>
      <c r="Q90" s="26">
        <v>20.0</v>
      </c>
      <c r="R90" s="26">
        <v>0.0</v>
      </c>
      <c r="S90" s="26">
        <v>28.0</v>
      </c>
      <c r="T90" s="26">
        <v>198.0</v>
      </c>
    </row>
    <row r="91">
      <c r="A91" s="23" t="s">
        <v>102</v>
      </c>
      <c r="B91" s="26" t="s">
        <v>115</v>
      </c>
      <c r="C91" s="26" t="s">
        <v>116</v>
      </c>
      <c r="D91" s="26">
        <v>1.0</v>
      </c>
      <c r="E91" s="26">
        <v>9.0</v>
      </c>
      <c r="F91" s="26">
        <v>1.0</v>
      </c>
      <c r="G91" s="26">
        <v>12.0</v>
      </c>
      <c r="H91" s="26">
        <v>10.0</v>
      </c>
      <c r="I91" s="26">
        <v>0.0</v>
      </c>
      <c r="J91" s="26">
        <v>12.0</v>
      </c>
      <c r="K91" s="26">
        <v>25.0</v>
      </c>
      <c r="L91" s="26">
        <v>0.0</v>
      </c>
      <c r="M91" s="26">
        <v>24.0</v>
      </c>
      <c r="N91" s="26">
        <v>28.0</v>
      </c>
      <c r="O91" s="26">
        <v>6.0</v>
      </c>
      <c r="P91" s="26">
        <v>31.0</v>
      </c>
      <c r="Q91" s="26">
        <v>17.0</v>
      </c>
      <c r="R91" s="26">
        <v>25.0</v>
      </c>
      <c r="S91" s="26">
        <v>26.0</v>
      </c>
      <c r="T91" s="26">
        <v>227.0</v>
      </c>
    </row>
    <row r="92">
      <c r="A92" s="23" t="s">
        <v>102</v>
      </c>
      <c r="B92" s="26" t="s">
        <v>115</v>
      </c>
      <c r="C92" s="26" t="s">
        <v>122</v>
      </c>
      <c r="D92" s="26">
        <v>0.0</v>
      </c>
      <c r="E92" s="26">
        <v>0.0</v>
      </c>
      <c r="F92" s="26">
        <v>0.0</v>
      </c>
      <c r="G92" s="26">
        <v>4.0</v>
      </c>
      <c r="H92" s="26">
        <v>4.0</v>
      </c>
      <c r="I92" s="26">
        <v>0.0</v>
      </c>
      <c r="J92" s="26">
        <v>7.0</v>
      </c>
      <c r="K92" s="26">
        <v>6.0</v>
      </c>
      <c r="L92" s="26">
        <v>0.0</v>
      </c>
      <c r="M92" s="26">
        <v>17.0</v>
      </c>
      <c r="N92" s="26">
        <v>8.0</v>
      </c>
      <c r="O92" s="26">
        <v>0.0</v>
      </c>
      <c r="P92" s="26">
        <v>27.0</v>
      </c>
      <c r="Q92" s="26">
        <v>11.0</v>
      </c>
      <c r="R92" s="26">
        <v>0.0</v>
      </c>
      <c r="S92" s="26">
        <v>30.0</v>
      </c>
      <c r="T92" s="26">
        <v>114.0</v>
      </c>
    </row>
    <row r="93">
      <c r="A93" s="23" t="s">
        <v>102</v>
      </c>
      <c r="B93" s="26" t="s">
        <v>115</v>
      </c>
      <c r="C93" s="26" t="s">
        <v>117</v>
      </c>
      <c r="D93" s="26">
        <v>0.0</v>
      </c>
      <c r="E93" s="26">
        <v>9.0</v>
      </c>
      <c r="F93" s="26">
        <v>9.0</v>
      </c>
      <c r="G93" s="26">
        <v>10.0</v>
      </c>
      <c r="H93" s="26">
        <v>18.0</v>
      </c>
      <c r="I93" s="26">
        <v>0.0</v>
      </c>
      <c r="J93" s="26">
        <v>12.0</v>
      </c>
      <c r="K93" s="26">
        <v>28.0</v>
      </c>
      <c r="L93" s="26">
        <v>0.0</v>
      </c>
      <c r="M93" s="26">
        <v>15.0</v>
      </c>
      <c r="N93" s="26">
        <v>24.0</v>
      </c>
      <c r="O93" s="26">
        <v>10.0</v>
      </c>
      <c r="P93" s="26">
        <v>16.0</v>
      </c>
      <c r="Q93" s="26">
        <v>26.0</v>
      </c>
      <c r="R93" s="26">
        <v>18.0</v>
      </c>
      <c r="S93" s="26">
        <v>13.0</v>
      </c>
      <c r="T93" s="26">
        <v>208.0</v>
      </c>
    </row>
    <row r="94">
      <c r="A94" s="23" t="s">
        <v>102</v>
      </c>
      <c r="B94" s="26" t="s">
        <v>115</v>
      </c>
      <c r="C94" s="26" t="s">
        <v>123</v>
      </c>
      <c r="D94" s="26">
        <v>0.0</v>
      </c>
      <c r="E94" s="26">
        <v>1.0</v>
      </c>
      <c r="F94" s="26">
        <v>0.0</v>
      </c>
      <c r="G94" s="26">
        <v>0.0</v>
      </c>
      <c r="H94" s="26">
        <v>0.0</v>
      </c>
      <c r="I94" s="26">
        <v>0.0</v>
      </c>
      <c r="J94" s="26">
        <v>4.0</v>
      </c>
      <c r="K94" s="26">
        <v>0.0</v>
      </c>
      <c r="L94" s="26">
        <v>0.0</v>
      </c>
      <c r="M94" s="26">
        <v>8.0</v>
      </c>
      <c r="N94" s="26">
        <v>0.0</v>
      </c>
      <c r="O94" s="26">
        <v>0.0</v>
      </c>
      <c r="P94" s="26">
        <v>16.0</v>
      </c>
      <c r="Q94" s="26">
        <v>0.0</v>
      </c>
      <c r="R94" s="26">
        <v>0.0</v>
      </c>
      <c r="S94" s="26">
        <v>16.0</v>
      </c>
      <c r="T94" s="26">
        <v>45.0</v>
      </c>
    </row>
    <row r="95">
      <c r="A95" s="23" t="s">
        <v>102</v>
      </c>
      <c r="B95" s="26" t="s">
        <v>124</v>
      </c>
      <c r="C95" s="26" t="s">
        <v>125</v>
      </c>
      <c r="D95" s="26">
        <v>1.0</v>
      </c>
      <c r="E95" s="26">
        <v>13.0</v>
      </c>
      <c r="F95" s="26">
        <v>6.0</v>
      </c>
      <c r="G95" s="26">
        <v>18.0</v>
      </c>
      <c r="H95" s="26">
        <v>43.0</v>
      </c>
      <c r="I95" s="26">
        <v>0.0</v>
      </c>
      <c r="J95" s="26">
        <v>52.0</v>
      </c>
      <c r="K95" s="26">
        <v>67.0</v>
      </c>
      <c r="L95" s="26">
        <v>0.0</v>
      </c>
      <c r="M95" s="26">
        <v>38.0</v>
      </c>
      <c r="N95" s="26">
        <v>64.0</v>
      </c>
      <c r="O95" s="26">
        <v>7.0</v>
      </c>
      <c r="P95" s="26">
        <v>36.0</v>
      </c>
      <c r="Q95" s="26">
        <v>71.0</v>
      </c>
      <c r="R95" s="26">
        <v>16.0</v>
      </c>
      <c r="S95" s="26">
        <v>32.0</v>
      </c>
      <c r="T95" s="26">
        <v>464.0</v>
      </c>
    </row>
    <row r="96">
      <c r="A96" s="23" t="s">
        <v>102</v>
      </c>
      <c r="B96" s="26" t="s">
        <v>124</v>
      </c>
      <c r="C96" s="26" t="s">
        <v>126</v>
      </c>
      <c r="D96" s="26">
        <v>0.0</v>
      </c>
      <c r="E96" s="26">
        <v>5.0</v>
      </c>
      <c r="F96" s="26">
        <v>9.0</v>
      </c>
      <c r="G96" s="26">
        <v>4.0</v>
      </c>
      <c r="H96" s="26">
        <v>16.0</v>
      </c>
      <c r="I96" s="26">
        <v>0.0</v>
      </c>
      <c r="J96" s="26">
        <v>11.0</v>
      </c>
      <c r="K96" s="26">
        <v>24.0</v>
      </c>
      <c r="L96" s="26">
        <v>0.0</v>
      </c>
      <c r="M96" s="26">
        <v>17.0</v>
      </c>
      <c r="N96" s="26">
        <v>40.0</v>
      </c>
      <c r="O96" s="26">
        <v>9.0</v>
      </c>
      <c r="P96" s="26">
        <v>18.0</v>
      </c>
      <c r="Q96" s="26">
        <v>40.0</v>
      </c>
      <c r="R96" s="26">
        <v>56.0</v>
      </c>
      <c r="S96" s="26">
        <v>15.0</v>
      </c>
      <c r="T96" s="26">
        <v>264.0</v>
      </c>
    </row>
    <row r="97">
      <c r="A97" s="23" t="s">
        <v>102</v>
      </c>
      <c r="B97" s="26" t="s">
        <v>124</v>
      </c>
      <c r="C97" s="26" t="s">
        <v>128</v>
      </c>
      <c r="D97" s="26">
        <v>0.0</v>
      </c>
      <c r="E97" s="26">
        <v>4.0</v>
      </c>
      <c r="F97" s="26">
        <v>1.0</v>
      </c>
      <c r="G97" s="26">
        <v>7.0</v>
      </c>
      <c r="H97" s="26">
        <v>3.0</v>
      </c>
      <c r="I97" s="26">
        <v>0.0</v>
      </c>
      <c r="J97" s="26">
        <v>8.0</v>
      </c>
      <c r="K97" s="26">
        <v>9.0</v>
      </c>
      <c r="L97" s="26">
        <v>0.0</v>
      </c>
      <c r="M97" s="26">
        <v>12.0</v>
      </c>
      <c r="N97" s="26">
        <v>10.0</v>
      </c>
      <c r="O97" s="26">
        <v>0.0</v>
      </c>
      <c r="P97" s="26">
        <v>26.0</v>
      </c>
      <c r="Q97" s="26">
        <v>21.0</v>
      </c>
      <c r="R97" s="26">
        <v>0.0</v>
      </c>
      <c r="S97" s="26">
        <v>13.0</v>
      </c>
      <c r="T97" s="26">
        <v>114.0</v>
      </c>
    </row>
    <row r="98">
      <c r="A98" s="23" t="s">
        <v>102</v>
      </c>
      <c r="B98" s="26" t="s">
        <v>124</v>
      </c>
      <c r="C98" s="26" t="s">
        <v>127</v>
      </c>
      <c r="D98" s="26">
        <v>0.0</v>
      </c>
      <c r="E98" s="26">
        <v>1.0</v>
      </c>
      <c r="F98" s="26">
        <v>3.0</v>
      </c>
      <c r="G98" s="26">
        <v>2.0</v>
      </c>
      <c r="H98" s="26">
        <v>3.0</v>
      </c>
      <c r="I98" s="26">
        <v>0.0</v>
      </c>
      <c r="J98" s="26">
        <v>7.0</v>
      </c>
      <c r="K98" s="26">
        <v>6.0</v>
      </c>
      <c r="L98" s="26">
        <v>0.0</v>
      </c>
      <c r="M98" s="26">
        <v>11.0</v>
      </c>
      <c r="N98" s="26">
        <v>20.0</v>
      </c>
      <c r="O98" s="26">
        <v>0.0</v>
      </c>
      <c r="P98" s="26">
        <v>17.0</v>
      </c>
      <c r="Q98" s="26">
        <v>19.0</v>
      </c>
      <c r="R98" s="26">
        <v>0.0</v>
      </c>
      <c r="S98" s="26">
        <v>6.0</v>
      </c>
      <c r="T98" s="26">
        <v>95.0</v>
      </c>
    </row>
    <row r="99">
      <c r="A99" s="23" t="s">
        <v>102</v>
      </c>
      <c r="B99" s="26" t="s">
        <v>124</v>
      </c>
      <c r="C99" s="26" t="s">
        <v>129</v>
      </c>
      <c r="D99" s="26">
        <v>0.0</v>
      </c>
      <c r="E99" s="26">
        <v>2.0</v>
      </c>
      <c r="F99" s="26">
        <v>0.0</v>
      </c>
      <c r="G99" s="26">
        <v>0.0</v>
      </c>
      <c r="H99" s="26">
        <v>1.0</v>
      </c>
      <c r="I99" s="26">
        <v>0.0</v>
      </c>
      <c r="J99" s="26">
        <v>5.0</v>
      </c>
      <c r="K99" s="26">
        <v>0.0</v>
      </c>
      <c r="L99" s="26">
        <v>0.0</v>
      </c>
      <c r="M99" s="26">
        <v>3.0</v>
      </c>
      <c r="N99" s="26">
        <v>2.0</v>
      </c>
      <c r="O99" s="26">
        <v>0.0</v>
      </c>
      <c r="P99" s="26">
        <v>2.0</v>
      </c>
      <c r="Q99" s="26">
        <v>2.0</v>
      </c>
      <c r="R99" s="26">
        <v>0.0</v>
      </c>
      <c r="S99" s="26">
        <v>4.0</v>
      </c>
      <c r="T99" s="26">
        <v>21.0</v>
      </c>
    </row>
    <row r="100">
      <c r="A100" s="23" t="s">
        <v>130</v>
      </c>
      <c r="B100" s="26" t="s">
        <v>141</v>
      </c>
      <c r="C100" s="26" t="s">
        <v>143</v>
      </c>
      <c r="D100" s="26">
        <v>9.0</v>
      </c>
      <c r="E100" s="26">
        <v>1.0</v>
      </c>
      <c r="F100" s="26">
        <v>5.0</v>
      </c>
      <c r="G100" s="26">
        <v>20.0</v>
      </c>
      <c r="H100" s="26">
        <v>31.0</v>
      </c>
      <c r="I100" s="26">
        <v>0.0</v>
      </c>
      <c r="J100" s="26">
        <v>15.0</v>
      </c>
      <c r="K100" s="26">
        <v>27.0</v>
      </c>
      <c r="L100" s="26">
        <v>0.0</v>
      </c>
      <c r="M100" s="26">
        <v>24.0</v>
      </c>
      <c r="N100" s="26">
        <v>17.0</v>
      </c>
      <c r="O100" s="26">
        <v>0.0</v>
      </c>
      <c r="P100" s="26">
        <v>13.0</v>
      </c>
      <c r="Q100" s="26">
        <v>17.0</v>
      </c>
      <c r="R100" s="26">
        <v>0.0</v>
      </c>
      <c r="S100" s="26">
        <v>8.0</v>
      </c>
      <c r="T100" s="26">
        <v>187.0</v>
      </c>
    </row>
    <row r="101">
      <c r="A101" s="23" t="s">
        <v>130</v>
      </c>
      <c r="B101" s="26" t="s">
        <v>141</v>
      </c>
      <c r="C101" s="26" t="s">
        <v>142</v>
      </c>
      <c r="D101" s="26">
        <v>4.0</v>
      </c>
      <c r="E101" s="26">
        <v>1.0</v>
      </c>
      <c r="F101" s="26">
        <v>8.0</v>
      </c>
      <c r="G101" s="26">
        <v>4.0</v>
      </c>
      <c r="H101" s="26">
        <v>34.0</v>
      </c>
      <c r="I101" s="26">
        <v>0.0</v>
      </c>
      <c r="J101" s="26">
        <v>6.0</v>
      </c>
      <c r="K101" s="26">
        <v>40.0</v>
      </c>
      <c r="L101" s="26">
        <v>0.0</v>
      </c>
      <c r="M101" s="26">
        <v>10.0</v>
      </c>
      <c r="N101" s="26">
        <v>20.0</v>
      </c>
      <c r="O101" s="26">
        <v>0.0</v>
      </c>
      <c r="P101" s="26">
        <v>6.0</v>
      </c>
      <c r="Q101" s="26">
        <v>12.0</v>
      </c>
      <c r="R101" s="26">
        <v>0.0</v>
      </c>
      <c r="S101" s="26">
        <v>4.0</v>
      </c>
      <c r="T101" s="26">
        <v>149.0</v>
      </c>
    </row>
    <row r="102">
      <c r="A102" s="23" t="s">
        <v>130</v>
      </c>
      <c r="B102" s="26" t="s">
        <v>141</v>
      </c>
      <c r="C102" s="26" t="s">
        <v>147</v>
      </c>
      <c r="D102" s="26">
        <v>3.0</v>
      </c>
      <c r="E102" s="26">
        <v>2.0</v>
      </c>
      <c r="F102" s="26">
        <v>3.0</v>
      </c>
      <c r="G102" s="26">
        <v>7.0</v>
      </c>
      <c r="H102" s="26">
        <v>8.0</v>
      </c>
      <c r="I102" s="26">
        <v>0.0</v>
      </c>
      <c r="J102" s="26">
        <v>2.0</v>
      </c>
      <c r="K102" s="26">
        <v>14.0</v>
      </c>
      <c r="L102" s="26">
        <v>0.0</v>
      </c>
      <c r="M102" s="26">
        <v>9.0</v>
      </c>
      <c r="N102" s="26">
        <v>16.0</v>
      </c>
      <c r="O102" s="26">
        <v>0.0</v>
      </c>
      <c r="P102" s="26">
        <v>2.0</v>
      </c>
      <c r="Q102" s="26">
        <v>9.0</v>
      </c>
      <c r="R102" s="26">
        <v>0.0</v>
      </c>
      <c r="S102" s="26">
        <v>3.0</v>
      </c>
      <c r="T102" s="26">
        <v>78.0</v>
      </c>
    </row>
    <row r="103">
      <c r="A103" s="23" t="s">
        <v>130</v>
      </c>
      <c r="B103" s="26" t="s">
        <v>141</v>
      </c>
      <c r="C103" s="26" t="s">
        <v>146</v>
      </c>
      <c r="D103" s="26">
        <v>1.0</v>
      </c>
      <c r="E103" s="26">
        <v>3.0</v>
      </c>
      <c r="F103" s="26">
        <v>3.0</v>
      </c>
      <c r="G103" s="26">
        <v>12.0</v>
      </c>
      <c r="H103" s="26">
        <v>5.0</v>
      </c>
      <c r="I103" s="26">
        <v>0.0</v>
      </c>
      <c r="J103" s="26">
        <v>9.0</v>
      </c>
      <c r="K103" s="26">
        <v>13.0</v>
      </c>
      <c r="L103" s="26">
        <v>0.0</v>
      </c>
      <c r="M103" s="26">
        <v>24.0</v>
      </c>
      <c r="N103" s="26">
        <v>9.0</v>
      </c>
      <c r="O103" s="26">
        <v>7.0</v>
      </c>
      <c r="P103" s="26">
        <v>11.0</v>
      </c>
      <c r="Q103" s="26">
        <v>7.0</v>
      </c>
      <c r="R103" s="26">
        <v>30.0</v>
      </c>
      <c r="S103" s="26">
        <v>5.0</v>
      </c>
      <c r="T103" s="26">
        <v>139.0</v>
      </c>
    </row>
    <row r="104">
      <c r="A104" s="23" t="s">
        <v>130</v>
      </c>
      <c r="B104" s="26" t="s">
        <v>141</v>
      </c>
      <c r="C104" s="26" t="s">
        <v>149</v>
      </c>
      <c r="D104" s="26">
        <v>0.0</v>
      </c>
      <c r="E104" s="26">
        <v>0.0</v>
      </c>
      <c r="F104" s="26">
        <v>1.0</v>
      </c>
      <c r="G104" s="26">
        <v>1.0</v>
      </c>
      <c r="H104" s="26">
        <v>13.0</v>
      </c>
      <c r="I104" s="26">
        <v>0.0</v>
      </c>
      <c r="J104" s="26">
        <v>4.0</v>
      </c>
      <c r="K104" s="26">
        <v>14.0</v>
      </c>
      <c r="L104" s="26">
        <v>0.0</v>
      </c>
      <c r="M104" s="26">
        <v>2.0</v>
      </c>
      <c r="N104" s="26">
        <v>16.0</v>
      </c>
      <c r="O104" s="26">
        <v>0.0</v>
      </c>
      <c r="P104" s="26">
        <v>1.0</v>
      </c>
      <c r="Q104" s="26">
        <v>6.0</v>
      </c>
      <c r="R104" s="26">
        <v>0.0</v>
      </c>
      <c r="S104" s="26">
        <v>4.0</v>
      </c>
      <c r="T104" s="26">
        <v>62.0</v>
      </c>
    </row>
    <row r="105">
      <c r="A105" s="23" t="s">
        <v>130</v>
      </c>
      <c r="B105" s="26" t="s">
        <v>141</v>
      </c>
      <c r="C105" s="26" t="s">
        <v>151</v>
      </c>
      <c r="D105" s="26">
        <v>0.0</v>
      </c>
      <c r="E105" s="26">
        <v>1.0</v>
      </c>
      <c r="F105" s="26">
        <v>2.0</v>
      </c>
      <c r="G105" s="26">
        <v>8.0</v>
      </c>
      <c r="H105" s="26">
        <v>4.0</v>
      </c>
      <c r="I105" s="26">
        <v>0.0</v>
      </c>
      <c r="J105" s="26">
        <v>5.0</v>
      </c>
      <c r="K105" s="26">
        <v>8.0</v>
      </c>
      <c r="L105" s="26">
        <v>0.0</v>
      </c>
      <c r="M105" s="26">
        <v>7.0</v>
      </c>
      <c r="N105" s="26">
        <v>7.0</v>
      </c>
      <c r="O105" s="26">
        <v>0.0</v>
      </c>
      <c r="P105" s="26">
        <v>4.0</v>
      </c>
      <c r="Q105" s="26">
        <v>4.0</v>
      </c>
      <c r="R105" s="26">
        <v>0.0</v>
      </c>
      <c r="S105" s="26">
        <v>4.0</v>
      </c>
      <c r="T105" s="26">
        <v>54.0</v>
      </c>
    </row>
    <row r="106">
      <c r="A106" s="23" t="s">
        <v>130</v>
      </c>
      <c r="B106" s="26" t="s">
        <v>141</v>
      </c>
      <c r="C106" s="26" t="s">
        <v>153</v>
      </c>
      <c r="D106" s="26">
        <v>0.0</v>
      </c>
      <c r="E106" s="26">
        <v>0.0</v>
      </c>
      <c r="F106" s="26">
        <v>0.0</v>
      </c>
      <c r="G106" s="26">
        <v>0.0</v>
      </c>
      <c r="H106" s="26">
        <v>0.0</v>
      </c>
      <c r="I106" s="26">
        <v>0.0</v>
      </c>
      <c r="J106" s="26">
        <v>0.0</v>
      </c>
      <c r="K106" s="26">
        <v>1.0</v>
      </c>
      <c r="L106" s="26">
        <v>0.0</v>
      </c>
      <c r="M106" s="26">
        <v>0.0</v>
      </c>
      <c r="N106" s="26">
        <v>5.0</v>
      </c>
      <c r="O106" s="26">
        <v>0.0</v>
      </c>
      <c r="P106" s="26">
        <v>4.0</v>
      </c>
      <c r="Q106" s="26">
        <v>7.0</v>
      </c>
      <c r="R106" s="26">
        <v>0.0</v>
      </c>
      <c r="S106" s="26">
        <v>1.0</v>
      </c>
      <c r="T106" s="26">
        <v>18.0</v>
      </c>
    </row>
    <row r="107">
      <c r="A107" s="23" t="s">
        <v>130</v>
      </c>
      <c r="B107" s="26" t="s">
        <v>141</v>
      </c>
      <c r="C107" s="26" t="s">
        <v>152</v>
      </c>
      <c r="D107" s="26">
        <v>0.0</v>
      </c>
      <c r="E107" s="26">
        <v>0.0</v>
      </c>
      <c r="F107" s="26">
        <v>0.0</v>
      </c>
      <c r="G107" s="26">
        <v>2.0</v>
      </c>
      <c r="H107" s="26">
        <v>1.0</v>
      </c>
      <c r="I107" s="26">
        <v>0.0</v>
      </c>
      <c r="J107" s="26">
        <v>0.0</v>
      </c>
      <c r="K107" s="26">
        <v>2.0</v>
      </c>
      <c r="L107" s="26">
        <v>0.0</v>
      </c>
      <c r="M107" s="26">
        <v>3.0</v>
      </c>
      <c r="N107" s="26">
        <v>0.0</v>
      </c>
      <c r="O107" s="26">
        <v>0.0</v>
      </c>
      <c r="P107" s="26">
        <v>0.0</v>
      </c>
      <c r="Q107" s="26">
        <v>0.0</v>
      </c>
      <c r="R107" s="26">
        <v>0.0</v>
      </c>
      <c r="S107" s="26">
        <v>2.0</v>
      </c>
      <c r="T107" s="26">
        <v>10.0</v>
      </c>
    </row>
    <row r="108">
      <c r="A108" s="23" t="s">
        <v>130</v>
      </c>
      <c r="B108" s="26" t="s">
        <v>131</v>
      </c>
      <c r="C108" s="26" t="s">
        <v>133</v>
      </c>
      <c r="D108" s="26">
        <v>6.0</v>
      </c>
      <c r="E108" s="26">
        <v>8.0</v>
      </c>
      <c r="F108" s="26">
        <v>20.0</v>
      </c>
      <c r="G108" s="26">
        <v>17.0</v>
      </c>
      <c r="H108" s="26">
        <v>28.0</v>
      </c>
      <c r="I108" s="26">
        <v>0.0</v>
      </c>
      <c r="J108" s="26">
        <v>7.0</v>
      </c>
      <c r="K108" s="26">
        <v>36.0</v>
      </c>
      <c r="L108" s="26">
        <v>0.0</v>
      </c>
      <c r="M108" s="26">
        <v>10.0</v>
      </c>
      <c r="N108" s="26">
        <v>28.0</v>
      </c>
      <c r="O108" s="26">
        <v>24.0</v>
      </c>
      <c r="P108" s="26">
        <v>15.0</v>
      </c>
      <c r="Q108" s="26">
        <v>21.0</v>
      </c>
      <c r="R108" s="26">
        <v>57.0</v>
      </c>
      <c r="S108" s="26">
        <v>9.0</v>
      </c>
      <c r="T108" s="26">
        <v>286.0</v>
      </c>
    </row>
    <row r="109">
      <c r="A109" s="23" t="s">
        <v>130</v>
      </c>
      <c r="B109" s="26" t="s">
        <v>131</v>
      </c>
      <c r="C109" s="26" t="s">
        <v>134</v>
      </c>
      <c r="D109" s="26">
        <v>4.0</v>
      </c>
      <c r="E109" s="26">
        <v>2.0</v>
      </c>
      <c r="F109" s="26">
        <v>7.0</v>
      </c>
      <c r="G109" s="26">
        <v>14.0</v>
      </c>
      <c r="H109" s="26">
        <v>16.0</v>
      </c>
      <c r="I109" s="26">
        <v>0.0</v>
      </c>
      <c r="J109" s="26">
        <v>15.0</v>
      </c>
      <c r="K109" s="26">
        <v>21.0</v>
      </c>
      <c r="L109" s="26">
        <v>0.0</v>
      </c>
      <c r="M109" s="26">
        <v>25.0</v>
      </c>
      <c r="N109" s="26">
        <v>26.0</v>
      </c>
      <c r="O109" s="26">
        <v>8.0</v>
      </c>
      <c r="P109" s="26">
        <v>15.0</v>
      </c>
      <c r="Q109" s="26">
        <v>14.0</v>
      </c>
      <c r="R109" s="26">
        <v>31.0</v>
      </c>
      <c r="S109" s="26">
        <v>7.0</v>
      </c>
      <c r="T109" s="26">
        <v>205.0</v>
      </c>
    </row>
    <row r="110">
      <c r="A110" s="23" t="s">
        <v>130</v>
      </c>
      <c r="B110" s="26" t="s">
        <v>131</v>
      </c>
      <c r="C110" s="26" t="s">
        <v>136</v>
      </c>
      <c r="D110" s="26">
        <v>2.0</v>
      </c>
      <c r="E110" s="26">
        <v>4.0</v>
      </c>
      <c r="F110" s="26">
        <v>2.0</v>
      </c>
      <c r="G110" s="26">
        <v>14.0</v>
      </c>
      <c r="H110" s="26">
        <v>13.0</v>
      </c>
      <c r="I110" s="26">
        <v>0.0</v>
      </c>
      <c r="J110" s="26">
        <v>12.0</v>
      </c>
      <c r="K110" s="26">
        <v>25.0</v>
      </c>
      <c r="L110" s="26">
        <v>0.0</v>
      </c>
      <c r="M110" s="26">
        <v>2.0</v>
      </c>
      <c r="N110" s="26">
        <v>10.0</v>
      </c>
      <c r="O110" s="26">
        <v>0.0</v>
      </c>
      <c r="P110" s="26">
        <v>15.0</v>
      </c>
      <c r="Q110" s="26">
        <v>12.0</v>
      </c>
      <c r="R110" s="26">
        <v>0.0</v>
      </c>
      <c r="S110" s="26">
        <v>7.0</v>
      </c>
      <c r="T110" s="26">
        <v>118.0</v>
      </c>
    </row>
    <row r="111">
      <c r="A111" s="23" t="s">
        <v>130</v>
      </c>
      <c r="B111" s="26" t="s">
        <v>131</v>
      </c>
      <c r="C111" s="26" t="s">
        <v>139</v>
      </c>
      <c r="D111" s="26">
        <v>2.0</v>
      </c>
      <c r="E111" s="26">
        <v>1.0</v>
      </c>
      <c r="F111" s="26">
        <v>3.0</v>
      </c>
      <c r="G111" s="26">
        <v>4.0</v>
      </c>
      <c r="H111" s="26">
        <v>18.0</v>
      </c>
      <c r="I111" s="26">
        <v>0.0</v>
      </c>
      <c r="J111" s="26">
        <v>6.0</v>
      </c>
      <c r="K111" s="26">
        <v>24.0</v>
      </c>
      <c r="L111" s="26">
        <v>0.0</v>
      </c>
      <c r="M111" s="26">
        <v>6.0</v>
      </c>
      <c r="N111" s="26">
        <v>15.0</v>
      </c>
      <c r="O111" s="26">
        <v>0.0</v>
      </c>
      <c r="P111" s="26">
        <v>3.0</v>
      </c>
      <c r="Q111" s="26">
        <v>9.0</v>
      </c>
      <c r="R111" s="26">
        <v>0.0</v>
      </c>
      <c r="S111" s="26">
        <v>1.0</v>
      </c>
      <c r="T111" s="26">
        <v>92.0</v>
      </c>
    </row>
    <row r="112">
      <c r="A112" s="23" t="s">
        <v>130</v>
      </c>
      <c r="B112" s="26" t="s">
        <v>131</v>
      </c>
      <c r="C112" s="26" t="s">
        <v>137</v>
      </c>
      <c r="D112" s="26">
        <v>1.0</v>
      </c>
      <c r="E112" s="26">
        <v>3.0</v>
      </c>
      <c r="F112" s="26">
        <v>5.0</v>
      </c>
      <c r="G112" s="26">
        <v>21.0</v>
      </c>
      <c r="H112" s="26">
        <v>11.0</v>
      </c>
      <c r="I112" s="26">
        <v>0.0</v>
      </c>
      <c r="J112" s="26">
        <v>8.0</v>
      </c>
      <c r="K112" s="26">
        <v>13.0</v>
      </c>
      <c r="L112" s="26">
        <v>0.0</v>
      </c>
      <c r="M112" s="26">
        <v>8.0</v>
      </c>
      <c r="N112" s="26">
        <v>5.0</v>
      </c>
      <c r="O112" s="26">
        <v>0.0</v>
      </c>
      <c r="P112" s="26">
        <v>6.0</v>
      </c>
      <c r="Q112" s="26">
        <v>6.0</v>
      </c>
      <c r="R112" s="26">
        <v>1.0</v>
      </c>
      <c r="S112" s="26">
        <v>7.0</v>
      </c>
      <c r="T112" s="26">
        <v>95.0</v>
      </c>
    </row>
    <row r="113">
      <c r="A113" s="23" t="s">
        <v>130</v>
      </c>
      <c r="B113" s="26" t="s">
        <v>131</v>
      </c>
      <c r="C113" s="26" t="s">
        <v>138</v>
      </c>
      <c r="D113" s="26">
        <v>1.0</v>
      </c>
      <c r="E113" s="26">
        <v>2.0</v>
      </c>
      <c r="F113" s="26">
        <v>4.0</v>
      </c>
      <c r="G113" s="26">
        <v>7.0</v>
      </c>
      <c r="H113" s="26">
        <v>10.0</v>
      </c>
      <c r="I113" s="26">
        <v>0.0</v>
      </c>
      <c r="J113" s="26">
        <v>6.0</v>
      </c>
      <c r="K113" s="26">
        <v>12.0</v>
      </c>
      <c r="L113" s="26">
        <v>0.0</v>
      </c>
      <c r="M113" s="26">
        <v>7.0</v>
      </c>
      <c r="N113" s="26">
        <v>8.0</v>
      </c>
      <c r="O113" s="26">
        <v>0.0</v>
      </c>
      <c r="P113" s="26">
        <v>3.0</v>
      </c>
      <c r="Q113" s="26">
        <v>4.0</v>
      </c>
      <c r="R113" s="26">
        <v>0.0</v>
      </c>
      <c r="S113" s="26">
        <v>2.0</v>
      </c>
      <c r="T113" s="26">
        <v>66.0</v>
      </c>
    </row>
    <row r="114">
      <c r="A114" s="23" t="s">
        <v>130</v>
      </c>
      <c r="B114" s="26" t="s">
        <v>131</v>
      </c>
      <c r="C114" s="26" t="s">
        <v>135</v>
      </c>
      <c r="D114" s="26">
        <v>0.0</v>
      </c>
      <c r="E114" s="26">
        <v>7.0</v>
      </c>
      <c r="F114" s="26">
        <v>3.0</v>
      </c>
      <c r="G114" s="26">
        <v>11.0</v>
      </c>
      <c r="H114" s="26">
        <v>16.0</v>
      </c>
      <c r="I114" s="26">
        <v>0.0</v>
      </c>
      <c r="J114" s="26">
        <v>8.0</v>
      </c>
      <c r="K114" s="26">
        <v>34.0</v>
      </c>
      <c r="L114" s="26">
        <v>0.0</v>
      </c>
      <c r="M114" s="26">
        <v>1.0</v>
      </c>
      <c r="N114" s="26">
        <v>17.0</v>
      </c>
      <c r="O114" s="26">
        <v>15.0</v>
      </c>
      <c r="P114" s="26">
        <v>12.0</v>
      </c>
      <c r="Q114" s="26">
        <v>9.0</v>
      </c>
      <c r="R114" s="26">
        <v>41.0</v>
      </c>
      <c r="S114" s="26">
        <v>8.0</v>
      </c>
      <c r="T114" s="26">
        <v>182.0</v>
      </c>
    </row>
    <row r="115">
      <c r="A115" s="23" t="s">
        <v>130</v>
      </c>
      <c r="B115" s="26" t="s">
        <v>131</v>
      </c>
      <c r="C115" s="26" t="s">
        <v>132</v>
      </c>
      <c r="D115" s="26">
        <v>0.0</v>
      </c>
      <c r="E115" s="26">
        <v>8.0</v>
      </c>
      <c r="F115" s="26">
        <v>1.0</v>
      </c>
      <c r="G115" s="26">
        <v>13.0</v>
      </c>
      <c r="H115" s="26">
        <v>13.0</v>
      </c>
      <c r="I115" s="26">
        <v>0.0</v>
      </c>
      <c r="J115" s="26">
        <v>18.0</v>
      </c>
      <c r="K115" s="26">
        <v>16.0</v>
      </c>
      <c r="L115" s="26">
        <v>0.0</v>
      </c>
      <c r="M115" s="26">
        <v>29.0</v>
      </c>
      <c r="N115" s="26">
        <v>16.0</v>
      </c>
      <c r="O115" s="26">
        <v>0.0</v>
      </c>
      <c r="P115" s="26">
        <v>17.0</v>
      </c>
      <c r="Q115" s="26">
        <v>7.0</v>
      </c>
      <c r="R115" s="26">
        <v>0.0</v>
      </c>
      <c r="S115" s="26">
        <v>5.0</v>
      </c>
      <c r="T115" s="26">
        <v>143.0</v>
      </c>
    </row>
    <row r="116">
      <c r="A116" s="23" t="s">
        <v>130</v>
      </c>
      <c r="B116" s="26" t="s">
        <v>131</v>
      </c>
      <c r="C116" s="26" t="s">
        <v>140</v>
      </c>
      <c r="D116" s="26">
        <v>0.0</v>
      </c>
      <c r="E116" s="26">
        <v>1.0</v>
      </c>
      <c r="F116" s="26">
        <v>0.0</v>
      </c>
      <c r="G116" s="26">
        <v>1.0</v>
      </c>
      <c r="H116" s="26">
        <v>1.0</v>
      </c>
      <c r="I116" s="26">
        <v>0.0</v>
      </c>
      <c r="J116" s="26">
        <v>1.0</v>
      </c>
      <c r="K116" s="26">
        <v>8.0</v>
      </c>
      <c r="L116" s="26">
        <v>0.0</v>
      </c>
      <c r="M116" s="26">
        <v>1.0</v>
      </c>
      <c r="N116" s="26">
        <v>0.0</v>
      </c>
      <c r="O116" s="26">
        <v>0.0</v>
      </c>
      <c r="P116" s="26">
        <v>4.0</v>
      </c>
      <c r="Q116" s="26">
        <v>1.0</v>
      </c>
      <c r="R116" s="26">
        <v>0.0</v>
      </c>
      <c r="S116" s="26">
        <v>1.0</v>
      </c>
      <c r="T116" s="26">
        <v>19.0</v>
      </c>
    </row>
    <row r="117">
      <c r="A117" s="23" t="s">
        <v>155</v>
      </c>
      <c r="B117" s="26" t="s">
        <v>156</v>
      </c>
      <c r="C117" s="26" t="s">
        <v>163</v>
      </c>
      <c r="D117" s="26">
        <v>4.0</v>
      </c>
      <c r="E117" s="26">
        <v>5.0</v>
      </c>
      <c r="F117" s="26">
        <v>1.0</v>
      </c>
      <c r="G117" s="26">
        <v>20.0</v>
      </c>
      <c r="H117" s="26">
        <v>10.0</v>
      </c>
      <c r="I117" s="26">
        <v>0.0</v>
      </c>
      <c r="J117" s="26">
        <v>14.0</v>
      </c>
      <c r="K117" s="26">
        <v>16.0</v>
      </c>
      <c r="L117" s="26">
        <v>0.0</v>
      </c>
      <c r="M117" s="26">
        <v>19.0</v>
      </c>
      <c r="N117" s="26">
        <v>15.0</v>
      </c>
      <c r="O117" s="26">
        <v>0.0</v>
      </c>
      <c r="P117" s="26">
        <v>8.0</v>
      </c>
      <c r="Q117" s="26">
        <v>8.0</v>
      </c>
      <c r="R117" s="26">
        <v>0.0</v>
      </c>
      <c r="S117" s="26">
        <v>12.0</v>
      </c>
      <c r="T117" s="26">
        <v>132.0</v>
      </c>
    </row>
    <row r="118">
      <c r="A118" s="23" t="s">
        <v>155</v>
      </c>
      <c r="B118" s="26" t="s">
        <v>156</v>
      </c>
      <c r="C118" s="26" t="s">
        <v>159</v>
      </c>
      <c r="D118" s="26">
        <v>3.0</v>
      </c>
      <c r="E118" s="26">
        <v>8.0</v>
      </c>
      <c r="F118" s="26">
        <v>5.0</v>
      </c>
      <c r="G118" s="26">
        <v>10.0</v>
      </c>
      <c r="H118" s="26">
        <v>30.0</v>
      </c>
      <c r="I118" s="26">
        <v>0.0</v>
      </c>
      <c r="J118" s="26">
        <v>20.0</v>
      </c>
      <c r="K118" s="26">
        <v>43.0</v>
      </c>
      <c r="L118" s="26">
        <v>0.0</v>
      </c>
      <c r="M118" s="26">
        <v>12.0</v>
      </c>
      <c r="N118" s="26">
        <v>16.0</v>
      </c>
      <c r="O118" s="26">
        <v>0.0</v>
      </c>
      <c r="P118" s="26">
        <v>14.0</v>
      </c>
      <c r="Q118" s="26">
        <v>15.0</v>
      </c>
      <c r="R118" s="26">
        <v>0.0</v>
      </c>
      <c r="S118" s="26">
        <v>14.0</v>
      </c>
      <c r="T118" s="26">
        <v>190.0</v>
      </c>
    </row>
    <row r="119">
      <c r="A119" s="23" t="s">
        <v>155</v>
      </c>
      <c r="B119" s="26" t="s">
        <v>156</v>
      </c>
      <c r="C119" s="26" t="s">
        <v>157</v>
      </c>
      <c r="D119" s="26">
        <v>3.0</v>
      </c>
      <c r="E119" s="26">
        <v>3.0</v>
      </c>
      <c r="F119" s="26">
        <v>2.0</v>
      </c>
      <c r="G119" s="26">
        <v>4.0</v>
      </c>
      <c r="H119" s="26">
        <v>23.0</v>
      </c>
      <c r="I119" s="26">
        <v>0.0</v>
      </c>
      <c r="J119" s="26">
        <v>6.0</v>
      </c>
      <c r="K119" s="26">
        <v>38.0</v>
      </c>
      <c r="L119" s="26">
        <v>0.0</v>
      </c>
      <c r="M119" s="26">
        <v>6.0</v>
      </c>
      <c r="N119" s="26">
        <v>19.0</v>
      </c>
      <c r="O119" s="26">
        <v>0.0</v>
      </c>
      <c r="P119" s="26">
        <v>3.0</v>
      </c>
      <c r="Q119" s="26">
        <v>8.0</v>
      </c>
      <c r="R119" s="26">
        <v>0.0</v>
      </c>
      <c r="S119" s="26">
        <v>4.0</v>
      </c>
      <c r="T119" s="26">
        <v>119.0</v>
      </c>
    </row>
    <row r="120">
      <c r="A120" s="23" t="s">
        <v>155</v>
      </c>
      <c r="B120" s="26" t="s">
        <v>156</v>
      </c>
      <c r="C120" s="26" t="s">
        <v>168</v>
      </c>
      <c r="D120" s="26">
        <v>2.0</v>
      </c>
      <c r="E120" s="26">
        <v>0.0</v>
      </c>
      <c r="F120" s="26">
        <v>2.0</v>
      </c>
      <c r="G120" s="26">
        <v>2.0</v>
      </c>
      <c r="H120" s="26">
        <v>11.0</v>
      </c>
      <c r="I120" s="26">
        <v>0.0</v>
      </c>
      <c r="J120" s="26">
        <v>1.0</v>
      </c>
      <c r="K120" s="26">
        <v>17.0</v>
      </c>
      <c r="L120" s="26">
        <v>0.0</v>
      </c>
      <c r="M120" s="26">
        <v>3.0</v>
      </c>
      <c r="N120" s="26">
        <v>17.0</v>
      </c>
      <c r="O120" s="26">
        <v>2.0</v>
      </c>
      <c r="P120" s="26">
        <v>0.0</v>
      </c>
      <c r="Q120" s="26">
        <v>7.0</v>
      </c>
      <c r="R120" s="26">
        <v>5.0</v>
      </c>
      <c r="S120" s="26">
        <v>1.0</v>
      </c>
      <c r="T120" s="26">
        <v>70.0</v>
      </c>
    </row>
    <row r="121">
      <c r="A121" s="23" t="s">
        <v>155</v>
      </c>
      <c r="B121" s="26" t="s">
        <v>156</v>
      </c>
      <c r="C121" s="26" t="s">
        <v>165</v>
      </c>
      <c r="D121" s="26">
        <v>2.0</v>
      </c>
      <c r="E121" s="26">
        <v>8.0</v>
      </c>
      <c r="F121" s="26">
        <v>8.0</v>
      </c>
      <c r="G121" s="26">
        <v>14.0</v>
      </c>
      <c r="H121" s="26">
        <v>8.0</v>
      </c>
      <c r="I121" s="26">
        <v>0.0</v>
      </c>
      <c r="J121" s="26">
        <v>6.0</v>
      </c>
      <c r="K121" s="26">
        <v>11.0</v>
      </c>
      <c r="L121" s="26">
        <v>0.0</v>
      </c>
      <c r="M121" s="26">
        <v>8.0</v>
      </c>
      <c r="N121" s="26">
        <v>15.0</v>
      </c>
      <c r="O121" s="26">
        <v>0.0</v>
      </c>
      <c r="P121" s="26">
        <v>5.0</v>
      </c>
      <c r="Q121" s="26">
        <v>5.0</v>
      </c>
      <c r="R121" s="26">
        <v>0.0</v>
      </c>
      <c r="S121" s="26">
        <v>16.0</v>
      </c>
      <c r="T121" s="26">
        <v>106.0</v>
      </c>
    </row>
    <row r="122">
      <c r="A122" s="23" t="s">
        <v>155</v>
      </c>
      <c r="B122" s="26" t="s">
        <v>156</v>
      </c>
      <c r="C122" s="26" t="s">
        <v>162</v>
      </c>
      <c r="D122" s="26">
        <v>2.0</v>
      </c>
      <c r="E122" s="26">
        <v>1.0</v>
      </c>
      <c r="F122" s="26">
        <v>0.0</v>
      </c>
      <c r="G122" s="26">
        <v>10.0</v>
      </c>
      <c r="H122" s="26">
        <v>12.0</v>
      </c>
      <c r="I122" s="26">
        <v>0.0</v>
      </c>
      <c r="J122" s="26">
        <v>4.0</v>
      </c>
      <c r="K122" s="26">
        <v>17.0</v>
      </c>
      <c r="L122" s="26">
        <v>0.0</v>
      </c>
      <c r="M122" s="26">
        <v>4.0</v>
      </c>
      <c r="N122" s="26">
        <v>14.0</v>
      </c>
      <c r="O122" s="26">
        <v>0.0</v>
      </c>
      <c r="P122" s="26">
        <v>5.0</v>
      </c>
      <c r="Q122" s="26">
        <v>7.0</v>
      </c>
      <c r="R122" s="26">
        <v>0.0</v>
      </c>
      <c r="S122" s="26">
        <v>0.0</v>
      </c>
      <c r="T122" s="26">
        <v>76.0</v>
      </c>
    </row>
    <row r="123">
      <c r="A123" s="23" t="s">
        <v>155</v>
      </c>
      <c r="B123" s="26" t="s">
        <v>156</v>
      </c>
      <c r="C123" s="26" t="s">
        <v>166</v>
      </c>
      <c r="D123" s="26">
        <v>0.0</v>
      </c>
      <c r="E123" s="26">
        <v>2.0</v>
      </c>
      <c r="F123" s="26">
        <v>9.0</v>
      </c>
      <c r="G123" s="26">
        <v>20.0</v>
      </c>
      <c r="H123" s="26">
        <v>13.0</v>
      </c>
      <c r="I123" s="26">
        <v>0.0</v>
      </c>
      <c r="J123" s="26">
        <v>17.0</v>
      </c>
      <c r="K123" s="26">
        <v>32.0</v>
      </c>
      <c r="L123" s="26">
        <v>0.0</v>
      </c>
      <c r="M123" s="26">
        <v>11.0</v>
      </c>
      <c r="N123" s="26">
        <v>25.0</v>
      </c>
      <c r="O123" s="26">
        <v>0.0</v>
      </c>
      <c r="P123" s="26">
        <v>13.0</v>
      </c>
      <c r="Q123" s="26">
        <v>19.0</v>
      </c>
      <c r="R123" s="26">
        <v>0.0</v>
      </c>
      <c r="S123" s="26">
        <v>17.0</v>
      </c>
      <c r="T123" s="26">
        <v>178.0</v>
      </c>
    </row>
    <row r="124">
      <c r="A124" s="23" t="s">
        <v>155</v>
      </c>
      <c r="B124" s="26" t="s">
        <v>156</v>
      </c>
      <c r="C124" s="26" t="s">
        <v>160</v>
      </c>
      <c r="D124" s="26">
        <v>0.0</v>
      </c>
      <c r="E124" s="26">
        <v>2.0</v>
      </c>
      <c r="F124" s="26">
        <v>3.0</v>
      </c>
      <c r="G124" s="26">
        <v>11.0</v>
      </c>
      <c r="H124" s="26">
        <v>10.0</v>
      </c>
      <c r="I124" s="26">
        <v>0.0</v>
      </c>
      <c r="J124" s="26">
        <v>3.0</v>
      </c>
      <c r="K124" s="26">
        <v>24.0</v>
      </c>
      <c r="L124" s="26">
        <v>0.0</v>
      </c>
      <c r="M124" s="26">
        <v>7.0</v>
      </c>
      <c r="N124" s="26">
        <v>13.0</v>
      </c>
      <c r="O124" s="26">
        <v>0.0</v>
      </c>
      <c r="P124" s="26">
        <v>5.0</v>
      </c>
      <c r="Q124" s="26">
        <v>5.0</v>
      </c>
      <c r="R124" s="26">
        <v>0.0</v>
      </c>
      <c r="S124" s="26">
        <v>1.0</v>
      </c>
      <c r="T124" s="26">
        <v>84.0</v>
      </c>
    </row>
    <row r="125">
      <c r="A125" s="23" t="s">
        <v>155</v>
      </c>
      <c r="B125" s="26" t="s">
        <v>156</v>
      </c>
      <c r="C125" s="26" t="s">
        <v>170</v>
      </c>
      <c r="D125" s="26">
        <v>0.0</v>
      </c>
      <c r="E125" s="26">
        <v>0.0</v>
      </c>
      <c r="F125" s="26">
        <v>0.0</v>
      </c>
      <c r="G125" s="26">
        <v>0.0</v>
      </c>
      <c r="H125" s="26">
        <v>0.0</v>
      </c>
      <c r="I125" s="26">
        <v>0.0</v>
      </c>
      <c r="J125" s="26">
        <v>0.0</v>
      </c>
      <c r="K125" s="26">
        <v>0.0</v>
      </c>
      <c r="L125" s="26">
        <v>0.0</v>
      </c>
      <c r="M125" s="26">
        <v>0.0</v>
      </c>
      <c r="N125" s="26">
        <v>8.0</v>
      </c>
      <c r="O125" s="26">
        <v>0.0</v>
      </c>
      <c r="P125" s="26">
        <v>1.0</v>
      </c>
      <c r="Q125" s="26">
        <v>2.0</v>
      </c>
      <c r="R125" s="26">
        <v>0.0</v>
      </c>
      <c r="S125" s="26">
        <v>1.0</v>
      </c>
      <c r="T125" s="26">
        <v>12.0</v>
      </c>
    </row>
    <row r="126">
      <c r="A126" s="23" t="s">
        <v>155</v>
      </c>
      <c r="B126" s="26" t="s">
        <v>156</v>
      </c>
      <c r="C126" s="26" t="s">
        <v>169</v>
      </c>
      <c r="D126" s="26">
        <v>0.0</v>
      </c>
      <c r="E126" s="26">
        <v>4.0</v>
      </c>
      <c r="F126" s="26">
        <v>2.0</v>
      </c>
      <c r="G126" s="26">
        <v>4.0</v>
      </c>
      <c r="H126" s="26">
        <v>6.0</v>
      </c>
      <c r="I126" s="26">
        <v>0.0</v>
      </c>
      <c r="J126" s="26">
        <v>2.0</v>
      </c>
      <c r="K126" s="26">
        <v>4.0</v>
      </c>
      <c r="L126" s="26">
        <v>0.0</v>
      </c>
      <c r="M126" s="26">
        <v>4.0</v>
      </c>
      <c r="N126" s="26">
        <v>4.0</v>
      </c>
      <c r="O126" s="26">
        <v>0.0</v>
      </c>
      <c r="P126" s="26">
        <v>2.0</v>
      </c>
      <c r="Q126" s="26">
        <v>6.0</v>
      </c>
      <c r="R126" s="26">
        <v>0.0</v>
      </c>
      <c r="S126" s="26">
        <v>1.0</v>
      </c>
      <c r="T126" s="26">
        <v>39.0</v>
      </c>
    </row>
    <row r="127">
      <c r="A127" s="23" t="s">
        <v>155</v>
      </c>
      <c r="B127" s="26" t="s">
        <v>144</v>
      </c>
      <c r="C127" s="26" t="s">
        <v>161</v>
      </c>
      <c r="D127" s="26">
        <v>13.0</v>
      </c>
      <c r="E127" s="26">
        <v>11.0</v>
      </c>
      <c r="F127" s="26">
        <v>17.0</v>
      </c>
      <c r="G127" s="26">
        <v>42.0</v>
      </c>
      <c r="H127" s="26">
        <v>53.0</v>
      </c>
      <c r="I127" s="26">
        <v>0.0</v>
      </c>
      <c r="J127" s="26">
        <v>31.0</v>
      </c>
      <c r="K127" s="26">
        <v>38.0</v>
      </c>
      <c r="L127" s="26">
        <v>0.0</v>
      </c>
      <c r="M127" s="26">
        <v>42.0</v>
      </c>
      <c r="N127" s="26">
        <v>21.0</v>
      </c>
      <c r="O127" s="26">
        <v>0.0</v>
      </c>
      <c r="P127" s="26">
        <v>21.0</v>
      </c>
      <c r="Q127" s="26">
        <v>19.0</v>
      </c>
      <c r="R127" s="26">
        <v>0.0</v>
      </c>
      <c r="S127" s="26">
        <v>17.0</v>
      </c>
      <c r="T127" s="26">
        <v>325.0</v>
      </c>
    </row>
    <row r="128">
      <c r="A128" s="23" t="s">
        <v>155</v>
      </c>
      <c r="B128" s="26" t="s">
        <v>144</v>
      </c>
      <c r="C128" s="26" t="s">
        <v>167</v>
      </c>
      <c r="D128" s="26">
        <v>9.0</v>
      </c>
      <c r="E128" s="26">
        <v>0.0</v>
      </c>
      <c r="F128" s="26">
        <v>8.0</v>
      </c>
      <c r="G128" s="26">
        <v>0.0</v>
      </c>
      <c r="H128" s="26">
        <v>16.0</v>
      </c>
      <c r="I128" s="26">
        <v>0.0</v>
      </c>
      <c r="J128" s="26">
        <v>0.0</v>
      </c>
      <c r="K128" s="26">
        <v>8.0</v>
      </c>
      <c r="L128" s="26">
        <v>0.0</v>
      </c>
      <c r="M128" s="26">
        <v>1.0</v>
      </c>
      <c r="N128" s="26">
        <v>11.0</v>
      </c>
      <c r="O128" s="26">
        <v>0.0</v>
      </c>
      <c r="P128" s="26">
        <v>0.0</v>
      </c>
      <c r="Q128" s="26">
        <v>11.0</v>
      </c>
      <c r="R128" s="26">
        <v>0.0</v>
      </c>
      <c r="S128" s="26">
        <v>2.0</v>
      </c>
      <c r="T128" s="26">
        <v>66.0</v>
      </c>
    </row>
    <row r="129">
      <c r="A129" s="23" t="s">
        <v>155</v>
      </c>
      <c r="B129" s="26" t="s">
        <v>144</v>
      </c>
      <c r="C129" s="26" t="s">
        <v>150</v>
      </c>
      <c r="D129" s="26">
        <v>4.0</v>
      </c>
      <c r="E129" s="26">
        <v>2.0</v>
      </c>
      <c r="F129" s="26">
        <v>4.0</v>
      </c>
      <c r="G129" s="26">
        <v>5.0</v>
      </c>
      <c r="H129" s="26">
        <v>3.0</v>
      </c>
      <c r="I129" s="26">
        <v>0.0</v>
      </c>
      <c r="J129" s="26">
        <v>5.0</v>
      </c>
      <c r="K129" s="26">
        <v>11.0</v>
      </c>
      <c r="L129" s="26">
        <v>0.0</v>
      </c>
      <c r="M129" s="26">
        <v>8.0</v>
      </c>
      <c r="N129" s="26">
        <v>5.0</v>
      </c>
      <c r="O129" s="26">
        <v>0.0</v>
      </c>
      <c r="P129" s="26">
        <v>3.0</v>
      </c>
      <c r="Q129" s="26">
        <v>5.0</v>
      </c>
      <c r="R129" s="26">
        <v>0.0</v>
      </c>
      <c r="S129" s="26">
        <v>2.0</v>
      </c>
      <c r="T129" s="26">
        <v>57.0</v>
      </c>
    </row>
    <row r="130">
      <c r="A130" s="23" t="s">
        <v>155</v>
      </c>
      <c r="B130" s="26" t="s">
        <v>144</v>
      </c>
      <c r="C130" s="26" t="s">
        <v>148</v>
      </c>
      <c r="D130" s="26">
        <v>2.0</v>
      </c>
      <c r="E130" s="26">
        <v>9.0</v>
      </c>
      <c r="F130" s="26">
        <v>13.0</v>
      </c>
      <c r="G130" s="26">
        <v>28.0</v>
      </c>
      <c r="H130" s="26">
        <v>27.0</v>
      </c>
      <c r="I130" s="26">
        <v>0.0</v>
      </c>
      <c r="J130" s="26">
        <v>19.0</v>
      </c>
      <c r="K130" s="26">
        <v>36.0</v>
      </c>
      <c r="L130" s="26">
        <v>0.0</v>
      </c>
      <c r="M130" s="26">
        <v>29.0</v>
      </c>
      <c r="N130" s="26">
        <v>24.0</v>
      </c>
      <c r="O130" s="26">
        <v>0.0</v>
      </c>
      <c r="P130" s="26">
        <v>31.0</v>
      </c>
      <c r="Q130" s="26">
        <v>8.0</v>
      </c>
      <c r="R130" s="26">
        <v>0.0</v>
      </c>
      <c r="S130" s="26">
        <v>21.0</v>
      </c>
      <c r="T130" s="26">
        <v>247.0</v>
      </c>
    </row>
    <row r="131">
      <c r="A131" s="23" t="s">
        <v>155</v>
      </c>
      <c r="B131" s="26" t="s">
        <v>144</v>
      </c>
      <c r="C131" s="26" t="s">
        <v>145</v>
      </c>
      <c r="D131" s="26">
        <v>1.0</v>
      </c>
      <c r="E131" s="26">
        <v>0.0</v>
      </c>
      <c r="F131" s="26">
        <v>4.0</v>
      </c>
      <c r="G131" s="26">
        <v>6.0</v>
      </c>
      <c r="H131" s="26">
        <v>20.0</v>
      </c>
      <c r="I131" s="26">
        <v>0.0</v>
      </c>
      <c r="J131" s="26">
        <v>1.0</v>
      </c>
      <c r="K131" s="26">
        <v>29.0</v>
      </c>
      <c r="L131" s="26">
        <v>0.0</v>
      </c>
      <c r="M131" s="26">
        <v>1.0</v>
      </c>
      <c r="N131" s="26">
        <v>14.0</v>
      </c>
      <c r="O131" s="26">
        <v>0.0</v>
      </c>
      <c r="P131" s="26">
        <v>1.0</v>
      </c>
      <c r="Q131" s="26">
        <v>8.0</v>
      </c>
      <c r="R131" s="26">
        <v>0.0</v>
      </c>
      <c r="S131" s="26">
        <v>1.0</v>
      </c>
      <c r="T131" s="26">
        <v>86.0</v>
      </c>
    </row>
    <row r="132">
      <c r="A132" s="23" t="s">
        <v>155</v>
      </c>
      <c r="B132" s="26" t="s">
        <v>144</v>
      </c>
      <c r="C132" s="26" t="s">
        <v>154</v>
      </c>
      <c r="D132" s="26">
        <v>1.0</v>
      </c>
      <c r="E132" s="26">
        <v>0.0</v>
      </c>
      <c r="F132" s="26">
        <v>3.0</v>
      </c>
      <c r="G132" s="26">
        <v>2.0</v>
      </c>
      <c r="H132" s="26">
        <v>5.0</v>
      </c>
      <c r="I132" s="26">
        <v>0.0</v>
      </c>
      <c r="J132" s="26">
        <v>1.0</v>
      </c>
      <c r="K132" s="26">
        <v>11.0</v>
      </c>
      <c r="L132" s="26">
        <v>0.0</v>
      </c>
      <c r="M132" s="26">
        <v>5.0</v>
      </c>
      <c r="N132" s="26">
        <v>6.0</v>
      </c>
      <c r="O132" s="26">
        <v>0.0</v>
      </c>
      <c r="P132" s="26">
        <v>1.0</v>
      </c>
      <c r="Q132" s="26">
        <v>5.0</v>
      </c>
      <c r="R132" s="26">
        <v>0.0</v>
      </c>
      <c r="S132" s="26">
        <v>1.0</v>
      </c>
      <c r="T132" s="26">
        <v>41.0</v>
      </c>
    </row>
    <row r="133">
      <c r="A133" s="23" t="s">
        <v>155</v>
      </c>
      <c r="B133" s="26" t="s">
        <v>144</v>
      </c>
      <c r="C133" s="26" t="s">
        <v>164</v>
      </c>
      <c r="D133" s="26">
        <v>0.0</v>
      </c>
      <c r="E133" s="26">
        <v>2.0</v>
      </c>
      <c r="F133" s="26">
        <v>1.0</v>
      </c>
      <c r="G133" s="26">
        <v>2.0</v>
      </c>
      <c r="H133" s="26">
        <v>23.0</v>
      </c>
      <c r="I133" s="26">
        <v>0.0</v>
      </c>
      <c r="J133" s="26">
        <v>3.0</v>
      </c>
      <c r="K133" s="26">
        <v>15.0</v>
      </c>
      <c r="L133" s="26">
        <v>0.0</v>
      </c>
      <c r="M133" s="26">
        <v>0.0</v>
      </c>
      <c r="N133" s="26">
        <v>13.0</v>
      </c>
      <c r="O133" s="26">
        <v>5.0</v>
      </c>
      <c r="P133" s="26">
        <v>2.0</v>
      </c>
      <c r="Q133" s="26">
        <v>11.0</v>
      </c>
      <c r="R133" s="26">
        <v>18.0</v>
      </c>
      <c r="S133" s="26">
        <v>3.0</v>
      </c>
      <c r="T133" s="26">
        <v>98.0</v>
      </c>
    </row>
    <row r="134">
      <c r="A134" s="23" t="s">
        <v>155</v>
      </c>
      <c r="B134" s="26" t="s">
        <v>144</v>
      </c>
      <c r="C134" s="26" t="s">
        <v>158</v>
      </c>
      <c r="D134" s="26">
        <v>0.0</v>
      </c>
      <c r="E134" s="26">
        <v>4.0</v>
      </c>
      <c r="F134" s="26">
        <v>5.0</v>
      </c>
      <c r="G134" s="26">
        <v>4.0</v>
      </c>
      <c r="H134" s="26">
        <v>9.0</v>
      </c>
      <c r="I134" s="26">
        <v>0.0</v>
      </c>
      <c r="J134" s="26">
        <v>13.0</v>
      </c>
      <c r="K134" s="26">
        <v>10.0</v>
      </c>
      <c r="L134" s="26">
        <v>0.0</v>
      </c>
      <c r="M134" s="26">
        <v>10.0</v>
      </c>
      <c r="N134" s="26">
        <v>10.0</v>
      </c>
      <c r="O134" s="26">
        <v>0.0</v>
      </c>
      <c r="P134" s="26">
        <v>8.0</v>
      </c>
      <c r="Q134" s="26">
        <v>5.0</v>
      </c>
      <c r="R134" s="26">
        <v>0.0</v>
      </c>
      <c r="S134" s="26">
        <v>6.0</v>
      </c>
      <c r="T134" s="26">
        <v>84.0</v>
      </c>
    </row>
  </sheetData>
  <autoFilter ref="$A$1:$Z$134">
    <sortState ref="A1:Z134">
      <sortCondition ref="A1:A134"/>
      <sortCondition ref="B1:B134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7"/>
      <c r="B1" s="37"/>
      <c r="C1" s="37"/>
      <c r="D1" s="38" t="s">
        <v>4</v>
      </c>
      <c r="E1" s="38" t="s">
        <v>4</v>
      </c>
      <c r="F1" s="38" t="s">
        <v>4</v>
      </c>
      <c r="G1" s="38" t="s">
        <v>4</v>
      </c>
      <c r="H1" s="38" t="s">
        <v>4</v>
      </c>
      <c r="I1" s="38" t="s">
        <v>4</v>
      </c>
      <c r="J1" s="38" t="s">
        <v>9</v>
      </c>
      <c r="K1" s="7"/>
      <c r="L1" s="37"/>
      <c r="M1" s="37"/>
      <c r="N1" s="37"/>
      <c r="O1" s="37"/>
      <c r="P1" s="37"/>
      <c r="Q1" s="37"/>
      <c r="R1" s="37"/>
    </row>
    <row r="2">
      <c r="A2" s="40" t="s">
        <v>0</v>
      </c>
      <c r="B2" s="40" t="s">
        <v>1</v>
      </c>
      <c r="C2" s="40" t="s">
        <v>2</v>
      </c>
      <c r="D2" s="11">
        <v>46113.0</v>
      </c>
      <c r="E2" s="11">
        <v>46143.0</v>
      </c>
      <c r="F2" s="11">
        <v>46174.0</v>
      </c>
      <c r="G2" s="11">
        <v>46204.0</v>
      </c>
      <c r="H2" s="11">
        <v>46235.0</v>
      </c>
      <c r="I2" s="11">
        <v>46266.0</v>
      </c>
      <c r="J2" s="41" t="s">
        <v>5</v>
      </c>
      <c r="K2" s="42" t="s">
        <v>16</v>
      </c>
      <c r="L2" s="37"/>
      <c r="M2" s="37"/>
      <c r="N2" s="37"/>
      <c r="O2" s="37"/>
      <c r="P2" s="37"/>
      <c r="Q2" s="37"/>
      <c r="R2" s="37"/>
    </row>
    <row r="3">
      <c r="A3" s="43" t="s">
        <v>6</v>
      </c>
      <c r="B3" s="43" t="s">
        <v>7</v>
      </c>
      <c r="C3" s="43" t="s">
        <v>8</v>
      </c>
      <c r="D3" s="19">
        <v>69.0</v>
      </c>
      <c r="E3" s="19">
        <f t="shared" ref="E3:E5" si="1">D3+(0.05*D3)</f>
        <v>72.45</v>
      </c>
      <c r="F3" s="19">
        <f t="shared" ref="F3:F8" si="2">E3+(0.08*E3)</f>
        <v>78.246</v>
      </c>
      <c r="G3" s="19">
        <f t="shared" ref="G3:G5" si="3">F3+(0.14*F3)</f>
        <v>89.20044</v>
      </c>
      <c r="H3" s="19">
        <f t="shared" ref="H3:H4" si="4">G3+(0.04*G3)</f>
        <v>92.7684576</v>
      </c>
      <c r="I3" s="19">
        <v>100.0</v>
      </c>
      <c r="J3" s="44">
        <f t="shared" ref="J3:J164" si="5">SUM(D3:I3)</f>
        <v>501.6648976</v>
      </c>
      <c r="K3" s="27">
        <f t="shared" ref="K3:K19" si="6">J3/$J$164*$K$164</f>
        <v>0.003436874715</v>
      </c>
      <c r="L3" s="37"/>
      <c r="M3" s="37"/>
      <c r="N3" s="37"/>
      <c r="O3" s="37"/>
      <c r="P3" s="37"/>
      <c r="Q3" s="37"/>
      <c r="R3" s="37"/>
    </row>
    <row r="4">
      <c r="A4" s="43" t="s">
        <v>6</v>
      </c>
      <c r="B4" s="43" t="s">
        <v>7</v>
      </c>
      <c r="C4" s="43" t="s">
        <v>10</v>
      </c>
      <c r="D4" s="19">
        <v>140.0</v>
      </c>
      <c r="E4" s="19">
        <f t="shared" si="1"/>
        <v>147</v>
      </c>
      <c r="F4" s="19">
        <f t="shared" si="2"/>
        <v>158.76</v>
      </c>
      <c r="G4" s="19">
        <f t="shared" si="3"/>
        <v>180.9864</v>
      </c>
      <c r="H4" s="19">
        <f t="shared" si="4"/>
        <v>188.225856</v>
      </c>
      <c r="I4" s="19">
        <f t="shared" ref="I4:I19" si="7">H4+(0.03*H4)</f>
        <v>193.8726317</v>
      </c>
      <c r="J4" s="44">
        <f t="shared" si="5"/>
        <v>1008.844888</v>
      </c>
      <c r="K4" s="27">
        <f t="shared" si="6"/>
        <v>0.006911532983</v>
      </c>
      <c r="L4" s="37"/>
      <c r="M4" s="37"/>
      <c r="N4" s="37"/>
      <c r="O4" s="37"/>
      <c r="P4" s="37"/>
      <c r="Q4" s="37"/>
      <c r="R4" s="37"/>
    </row>
    <row r="5">
      <c r="A5" s="43" t="s">
        <v>6</v>
      </c>
      <c r="B5" s="43" t="s">
        <v>7</v>
      </c>
      <c r="C5" s="43" t="s">
        <v>21</v>
      </c>
      <c r="D5" s="19">
        <v>100.0</v>
      </c>
      <c r="E5" s="19">
        <f t="shared" si="1"/>
        <v>105</v>
      </c>
      <c r="F5" s="19">
        <f t="shared" si="2"/>
        <v>113.4</v>
      </c>
      <c r="G5" s="19">
        <f t="shared" si="3"/>
        <v>129.276</v>
      </c>
      <c r="H5" s="19">
        <v>131.0</v>
      </c>
      <c r="I5" s="19">
        <f t="shared" si="7"/>
        <v>134.93</v>
      </c>
      <c r="J5" s="44">
        <f t="shared" si="5"/>
        <v>713.606</v>
      </c>
      <c r="K5" s="27">
        <f t="shared" si="6"/>
        <v>0.004888869901</v>
      </c>
      <c r="L5" s="37"/>
      <c r="M5" s="37"/>
      <c r="N5" s="37"/>
      <c r="O5" s="37"/>
      <c r="P5" s="37"/>
      <c r="Q5" s="37"/>
      <c r="R5" s="37"/>
    </row>
    <row r="6">
      <c r="A6" s="43" t="s">
        <v>6</v>
      </c>
      <c r="B6" s="43" t="s">
        <v>7</v>
      </c>
      <c r="C6" s="43" t="s">
        <v>11</v>
      </c>
      <c r="D6" s="19">
        <v>254.0</v>
      </c>
      <c r="E6" s="19">
        <v>260.0</v>
      </c>
      <c r="F6" s="19">
        <f t="shared" si="2"/>
        <v>280.8</v>
      </c>
      <c r="G6" s="19">
        <v>300.0</v>
      </c>
      <c r="H6" s="19">
        <v>310.0</v>
      </c>
      <c r="I6" s="19">
        <f t="shared" si="7"/>
        <v>319.3</v>
      </c>
      <c r="J6" s="44">
        <f t="shared" si="5"/>
        <v>1724.1</v>
      </c>
      <c r="K6" s="27">
        <f t="shared" si="6"/>
        <v>0.01181170085</v>
      </c>
      <c r="L6" s="37"/>
      <c r="M6" s="37"/>
      <c r="N6" s="37"/>
      <c r="O6" s="37"/>
      <c r="P6" s="37"/>
      <c r="Q6" s="37"/>
      <c r="R6" s="37"/>
    </row>
    <row r="7">
      <c r="A7" s="43" t="s">
        <v>6</v>
      </c>
      <c r="B7" s="43" t="s">
        <v>7</v>
      </c>
      <c r="C7" s="43" t="s">
        <v>15</v>
      </c>
      <c r="D7" s="19">
        <v>168.0</v>
      </c>
      <c r="E7" s="19">
        <f t="shared" ref="E7:E8" si="8">D7+(0.05*D7)</f>
        <v>176.4</v>
      </c>
      <c r="F7" s="19">
        <f t="shared" si="2"/>
        <v>190.512</v>
      </c>
      <c r="G7" s="19">
        <f t="shared" ref="G7:G8" si="9">F7+(0.14*F7)</f>
        <v>217.18368</v>
      </c>
      <c r="H7" s="19">
        <v>220.0</v>
      </c>
      <c r="I7" s="19">
        <f t="shared" si="7"/>
        <v>226.6</v>
      </c>
      <c r="J7" s="44">
        <f t="shared" si="5"/>
        <v>1198.69568</v>
      </c>
      <c r="K7" s="27">
        <f t="shared" si="6"/>
        <v>0.008212188841</v>
      </c>
      <c r="L7" s="37"/>
      <c r="M7" s="37"/>
      <c r="N7" s="37"/>
      <c r="O7" s="37"/>
      <c r="P7" s="37"/>
      <c r="Q7" s="37"/>
      <c r="R7" s="37"/>
    </row>
    <row r="8">
      <c r="A8" s="43" t="s">
        <v>6</v>
      </c>
      <c r="B8" s="43" t="s">
        <v>7</v>
      </c>
      <c r="C8" s="43" t="s">
        <v>22</v>
      </c>
      <c r="D8" s="19">
        <v>124.0</v>
      </c>
      <c r="E8" s="19">
        <f t="shared" si="8"/>
        <v>130.2</v>
      </c>
      <c r="F8" s="19">
        <f t="shared" si="2"/>
        <v>140.616</v>
      </c>
      <c r="G8" s="19">
        <f t="shared" si="9"/>
        <v>160.30224</v>
      </c>
      <c r="H8" s="19">
        <v>165.0</v>
      </c>
      <c r="I8" s="19">
        <f t="shared" si="7"/>
        <v>169.95</v>
      </c>
      <c r="J8" s="44">
        <f t="shared" si="5"/>
        <v>890.06824</v>
      </c>
      <c r="K8" s="27">
        <f t="shared" si="6"/>
        <v>0.006097801627</v>
      </c>
      <c r="L8" s="37"/>
      <c r="M8" s="37"/>
      <c r="N8" s="37"/>
      <c r="O8" s="37"/>
      <c r="P8" s="37"/>
      <c r="Q8" s="37"/>
      <c r="R8" s="37"/>
    </row>
    <row r="9">
      <c r="A9" s="43" t="s">
        <v>6</v>
      </c>
      <c r="B9" s="43" t="s">
        <v>7</v>
      </c>
      <c r="C9" s="45" t="s">
        <v>46</v>
      </c>
      <c r="D9" s="31">
        <v>0.0</v>
      </c>
      <c r="E9" s="31">
        <f>D9-(0.02*D9)</f>
        <v>0</v>
      </c>
      <c r="F9" s="31">
        <f>E9-(0.03*E9)</f>
        <v>0</v>
      </c>
      <c r="G9" s="31">
        <f>F9-(0.02*F9)</f>
        <v>0</v>
      </c>
      <c r="H9" s="31">
        <f>G9-(0.01*G9)</f>
        <v>0</v>
      </c>
      <c r="I9" s="31">
        <f t="shared" si="7"/>
        <v>0</v>
      </c>
      <c r="J9" s="44">
        <f t="shared" si="5"/>
        <v>0</v>
      </c>
      <c r="K9" s="27">
        <f t="shared" si="6"/>
        <v>0</v>
      </c>
      <c r="L9" s="37"/>
      <c r="M9" s="37"/>
      <c r="N9" s="37"/>
      <c r="O9" s="37"/>
      <c r="P9" s="37"/>
      <c r="Q9" s="37"/>
      <c r="R9" s="37"/>
    </row>
    <row r="10">
      <c r="A10" s="43" t="s">
        <v>6</v>
      </c>
      <c r="B10" s="43" t="s">
        <v>7</v>
      </c>
      <c r="C10" s="43" t="s">
        <v>17</v>
      </c>
      <c r="D10" s="19">
        <v>161.0</v>
      </c>
      <c r="E10" s="19">
        <v>168.0</v>
      </c>
      <c r="F10" s="19">
        <f t="shared" ref="F10:F13" si="10">E10+(0.08*E10)</f>
        <v>181.44</v>
      </c>
      <c r="G10" s="19">
        <f t="shared" ref="G10:G13" si="11">F10+(0.14*F10)</f>
        <v>206.8416</v>
      </c>
      <c r="H10" s="19">
        <v>211.0</v>
      </c>
      <c r="I10" s="19">
        <f t="shared" si="7"/>
        <v>217.33</v>
      </c>
      <c r="J10" s="44">
        <f t="shared" si="5"/>
        <v>1145.6116</v>
      </c>
      <c r="K10" s="27">
        <f t="shared" si="6"/>
        <v>0.007848513142</v>
      </c>
      <c r="L10" s="37"/>
      <c r="M10" s="37"/>
      <c r="N10" s="37"/>
      <c r="O10" s="37"/>
      <c r="P10" s="37"/>
      <c r="Q10" s="37"/>
      <c r="R10" s="37"/>
    </row>
    <row r="11">
      <c r="A11" s="43" t="s">
        <v>6</v>
      </c>
      <c r="B11" s="43" t="s">
        <v>7</v>
      </c>
      <c r="C11" s="43" t="s">
        <v>23</v>
      </c>
      <c r="D11" s="19">
        <v>86.0</v>
      </c>
      <c r="E11" s="19">
        <f t="shared" ref="E11:E14" si="12">D11+(0.05*D11)</f>
        <v>90.3</v>
      </c>
      <c r="F11" s="19">
        <f t="shared" si="10"/>
        <v>97.524</v>
      </c>
      <c r="G11" s="19">
        <f t="shared" si="11"/>
        <v>111.17736</v>
      </c>
      <c r="H11" s="19">
        <f>G11+(0.04*G11)</f>
        <v>115.6244544</v>
      </c>
      <c r="I11" s="19">
        <f t="shared" si="7"/>
        <v>119.093188</v>
      </c>
      <c r="J11" s="44">
        <f t="shared" si="5"/>
        <v>619.7190024</v>
      </c>
      <c r="K11" s="27">
        <f t="shared" si="6"/>
        <v>0.004245655975</v>
      </c>
      <c r="L11" s="37"/>
      <c r="M11" s="37"/>
      <c r="N11" s="37"/>
      <c r="O11" s="37"/>
      <c r="P11" s="37"/>
      <c r="Q11" s="37"/>
      <c r="R11" s="37"/>
    </row>
    <row r="12">
      <c r="A12" s="43" t="s">
        <v>6</v>
      </c>
      <c r="B12" s="43" t="s">
        <v>7</v>
      </c>
      <c r="C12" s="43" t="s">
        <v>12</v>
      </c>
      <c r="D12" s="19">
        <v>206.0</v>
      </c>
      <c r="E12" s="19">
        <f t="shared" si="12"/>
        <v>216.3</v>
      </c>
      <c r="F12" s="19">
        <f t="shared" si="10"/>
        <v>233.604</v>
      </c>
      <c r="G12" s="19">
        <f t="shared" si="11"/>
        <v>266.30856</v>
      </c>
      <c r="H12" s="19">
        <v>270.0</v>
      </c>
      <c r="I12" s="19">
        <f t="shared" si="7"/>
        <v>278.1</v>
      </c>
      <c r="J12" s="44">
        <f t="shared" si="5"/>
        <v>1470.31256</v>
      </c>
      <c r="K12" s="27">
        <f t="shared" si="6"/>
        <v>0.01007301903</v>
      </c>
      <c r="L12" s="37"/>
      <c r="M12" s="37"/>
      <c r="N12" s="37"/>
      <c r="O12" s="37"/>
      <c r="P12" s="37"/>
      <c r="Q12" s="37"/>
      <c r="R12" s="37"/>
    </row>
    <row r="13">
      <c r="A13" s="43" t="s">
        <v>6</v>
      </c>
      <c r="B13" s="43" t="s">
        <v>7</v>
      </c>
      <c r="C13" s="43" t="s">
        <v>20</v>
      </c>
      <c r="D13" s="19">
        <v>184.0</v>
      </c>
      <c r="E13" s="19">
        <f t="shared" si="12"/>
        <v>193.2</v>
      </c>
      <c r="F13" s="19">
        <f t="shared" si="10"/>
        <v>208.656</v>
      </c>
      <c r="G13" s="19">
        <f t="shared" si="11"/>
        <v>237.86784</v>
      </c>
      <c r="H13" s="19">
        <v>242.0</v>
      </c>
      <c r="I13" s="19">
        <f t="shared" si="7"/>
        <v>249.26</v>
      </c>
      <c r="J13" s="44">
        <f t="shared" si="5"/>
        <v>1314.98384</v>
      </c>
      <c r="K13" s="27">
        <f t="shared" si="6"/>
        <v>0.009008871724</v>
      </c>
      <c r="L13" s="37"/>
      <c r="M13" s="37"/>
      <c r="N13" s="37"/>
      <c r="O13" s="37"/>
      <c r="P13" s="37"/>
      <c r="Q13" s="37"/>
      <c r="R13" s="37"/>
    </row>
    <row r="14">
      <c r="A14" s="43" t="s">
        <v>6</v>
      </c>
      <c r="B14" s="43" t="s">
        <v>7</v>
      </c>
      <c r="C14" s="43" t="s">
        <v>18</v>
      </c>
      <c r="D14" s="19">
        <v>235.0</v>
      </c>
      <c r="E14" s="19">
        <f t="shared" si="12"/>
        <v>246.75</v>
      </c>
      <c r="F14" s="19">
        <v>260.0</v>
      </c>
      <c r="G14" s="19">
        <v>291.0</v>
      </c>
      <c r="H14" s="19">
        <v>301.0</v>
      </c>
      <c r="I14" s="19">
        <f t="shared" si="7"/>
        <v>310.03</v>
      </c>
      <c r="J14" s="44">
        <f t="shared" si="5"/>
        <v>1643.78</v>
      </c>
      <c r="K14" s="27">
        <f t="shared" si="6"/>
        <v>0.01126143357</v>
      </c>
      <c r="L14" s="37"/>
      <c r="M14" s="37"/>
      <c r="N14" s="37"/>
      <c r="O14" s="37"/>
      <c r="P14" s="37"/>
      <c r="Q14" s="37"/>
      <c r="R14" s="37"/>
    </row>
    <row r="15">
      <c r="A15" s="43" t="s">
        <v>6</v>
      </c>
      <c r="B15" s="43" t="s">
        <v>7</v>
      </c>
      <c r="C15" s="45" t="s">
        <v>60</v>
      </c>
      <c r="D15" s="31">
        <v>0.0</v>
      </c>
      <c r="E15" s="31">
        <f>D15-(0.02*D15)</f>
        <v>0</v>
      </c>
      <c r="F15" s="31">
        <f>E15-(0.03*E15)</f>
        <v>0</v>
      </c>
      <c r="G15" s="31">
        <f>F15-(0.02*F15)</f>
        <v>0</v>
      </c>
      <c r="H15" s="31">
        <f>G15-(0.01*G15)</f>
        <v>0</v>
      </c>
      <c r="I15" s="31">
        <f t="shared" si="7"/>
        <v>0</v>
      </c>
      <c r="J15" s="44">
        <f t="shared" si="5"/>
        <v>0</v>
      </c>
      <c r="K15" s="27">
        <f t="shared" si="6"/>
        <v>0</v>
      </c>
      <c r="L15" s="37"/>
      <c r="M15" s="37"/>
      <c r="N15" s="37"/>
      <c r="O15" s="37"/>
      <c r="P15" s="37"/>
      <c r="Q15" s="37"/>
      <c r="R15" s="37"/>
    </row>
    <row r="16">
      <c r="A16" s="43" t="s">
        <v>6</v>
      </c>
      <c r="B16" s="43" t="s">
        <v>7</v>
      </c>
      <c r="C16" s="43" t="s">
        <v>14</v>
      </c>
      <c r="D16" s="19">
        <v>233.0</v>
      </c>
      <c r="E16" s="19">
        <f>D16+(0.05*D16)</f>
        <v>244.65</v>
      </c>
      <c r="F16" s="19">
        <f>E16+(0.08*E16)</f>
        <v>264.222</v>
      </c>
      <c r="G16" s="19">
        <f>F16+(0.14*F16)</f>
        <v>301.21308</v>
      </c>
      <c r="H16" s="19">
        <v>310.0</v>
      </c>
      <c r="I16" s="19">
        <f t="shared" si="7"/>
        <v>319.3</v>
      </c>
      <c r="J16" s="44">
        <f t="shared" si="5"/>
        <v>1672.38508</v>
      </c>
      <c r="K16" s="27">
        <f t="shared" si="6"/>
        <v>0.01145740518</v>
      </c>
      <c r="L16" s="37"/>
      <c r="M16" s="37"/>
      <c r="N16" s="37"/>
      <c r="O16" s="37"/>
      <c r="P16" s="37"/>
      <c r="Q16" s="37"/>
      <c r="R16" s="37"/>
    </row>
    <row r="17">
      <c r="A17" s="43" t="s">
        <v>6</v>
      </c>
      <c r="B17" s="43" t="s">
        <v>7</v>
      </c>
      <c r="C17" s="45" t="s">
        <v>64</v>
      </c>
      <c r="D17" s="31">
        <v>0.0</v>
      </c>
      <c r="E17" s="31">
        <f>D17-(0.02*D17)</f>
        <v>0</v>
      </c>
      <c r="F17" s="31">
        <f>E17-(0.03*E17)</f>
        <v>0</v>
      </c>
      <c r="G17" s="31">
        <f>F17-(0.02*F17)</f>
        <v>0</v>
      </c>
      <c r="H17" s="31">
        <f>G17-(0.01*G17)</f>
        <v>0</v>
      </c>
      <c r="I17" s="31">
        <f t="shared" si="7"/>
        <v>0</v>
      </c>
      <c r="J17" s="44">
        <f t="shared" si="5"/>
        <v>0</v>
      </c>
      <c r="K17" s="27">
        <f t="shared" si="6"/>
        <v>0</v>
      </c>
      <c r="L17" s="37"/>
      <c r="M17" s="37"/>
      <c r="N17" s="37"/>
      <c r="O17" s="37"/>
      <c r="P17" s="37"/>
      <c r="Q17" s="37"/>
      <c r="R17" s="37"/>
    </row>
    <row r="18">
      <c r="A18" s="43" t="s">
        <v>6</v>
      </c>
      <c r="B18" s="43" t="s">
        <v>7</v>
      </c>
      <c r="C18" s="43" t="s">
        <v>13</v>
      </c>
      <c r="D18" s="19">
        <v>276.0</v>
      </c>
      <c r="E18" s="19">
        <f t="shared" ref="E18:E19" si="13">D18+(0.05*D18)</f>
        <v>289.8</v>
      </c>
      <c r="F18" s="19">
        <f t="shared" ref="F18:F19" si="14">E18+(0.08*E18)</f>
        <v>312.984</v>
      </c>
      <c r="G18" s="19">
        <v>321.0</v>
      </c>
      <c r="H18" s="19">
        <v>329.0</v>
      </c>
      <c r="I18" s="19">
        <f t="shared" si="7"/>
        <v>338.87</v>
      </c>
      <c r="J18" s="44">
        <f t="shared" si="5"/>
        <v>1867.654</v>
      </c>
      <c r="K18" s="27">
        <f t="shared" si="6"/>
        <v>0.01279518029</v>
      </c>
      <c r="L18" s="37"/>
      <c r="M18" s="37"/>
      <c r="N18" s="37"/>
      <c r="O18" s="37"/>
      <c r="P18" s="37"/>
      <c r="Q18" s="37"/>
      <c r="R18" s="37"/>
    </row>
    <row r="19">
      <c r="A19" s="43" t="s">
        <v>6</v>
      </c>
      <c r="B19" s="43" t="s">
        <v>7</v>
      </c>
      <c r="C19" s="43" t="s">
        <v>19</v>
      </c>
      <c r="D19" s="19">
        <v>119.0</v>
      </c>
      <c r="E19" s="19">
        <f t="shared" si="13"/>
        <v>124.95</v>
      </c>
      <c r="F19" s="19">
        <f t="shared" si="14"/>
        <v>134.946</v>
      </c>
      <c r="G19" s="19">
        <f>F19+(0.14*F19)</f>
        <v>153.83844</v>
      </c>
      <c r="H19" s="19">
        <v>159.0</v>
      </c>
      <c r="I19" s="19">
        <f t="shared" si="7"/>
        <v>163.77</v>
      </c>
      <c r="J19" s="44">
        <f t="shared" si="5"/>
        <v>855.50444</v>
      </c>
      <c r="K19" s="27">
        <f t="shared" si="6"/>
        <v>0.005861007204</v>
      </c>
      <c r="L19" s="37"/>
      <c r="M19" s="37"/>
      <c r="N19" s="37"/>
      <c r="O19" s="37"/>
      <c r="P19" s="37"/>
      <c r="Q19" s="37"/>
      <c r="R19" s="37"/>
    </row>
    <row r="20">
      <c r="A20" s="43" t="s">
        <v>6</v>
      </c>
      <c r="B20" s="43" t="s">
        <v>24</v>
      </c>
      <c r="C20" s="45" t="s">
        <v>73</v>
      </c>
      <c r="D20" s="50"/>
      <c r="E20" s="51"/>
      <c r="F20" s="50"/>
      <c r="G20" s="31">
        <v>20.0</v>
      </c>
      <c r="H20" s="31">
        <v>24.0</v>
      </c>
      <c r="I20" s="31">
        <v>30.0</v>
      </c>
      <c r="J20" s="44">
        <f t="shared" si="5"/>
        <v>74</v>
      </c>
      <c r="K20" s="37"/>
      <c r="L20" s="37"/>
      <c r="M20" s="37"/>
      <c r="N20" s="37"/>
      <c r="O20" s="37"/>
      <c r="P20" s="37"/>
      <c r="Q20" s="37"/>
      <c r="R20" s="37"/>
    </row>
    <row r="21">
      <c r="A21" s="43" t="s">
        <v>6</v>
      </c>
      <c r="B21" s="43" t="s">
        <v>24</v>
      </c>
      <c r="C21" s="43" t="s">
        <v>32</v>
      </c>
      <c r="D21" s="19">
        <v>74.0</v>
      </c>
      <c r="E21" s="19">
        <f t="shared" ref="E21:E23" si="15">D21+(0.05*D21)</f>
        <v>77.7</v>
      </c>
      <c r="F21" s="19">
        <f t="shared" ref="F21:F23" si="16">E21+(0.08*E21)</f>
        <v>83.916</v>
      </c>
      <c r="G21" s="19">
        <f t="shared" ref="G21:G23" si="17">F21+(0.14*F21)</f>
        <v>95.66424</v>
      </c>
      <c r="H21" s="19">
        <f t="shared" ref="H21:H23" si="18">G21+(0.04*G21)</f>
        <v>99.4908096</v>
      </c>
      <c r="I21" s="19">
        <f t="shared" ref="I21:I23" si="19">H21+(0.03*H21)</f>
        <v>102.4755339</v>
      </c>
      <c r="J21" s="44">
        <f t="shared" si="5"/>
        <v>533.2465835</v>
      </c>
      <c r="K21" s="27">
        <f t="shared" ref="K21:K163" si="20">J21/$J$164*$K$164</f>
        <v>0.003653238862</v>
      </c>
      <c r="L21" s="37"/>
      <c r="M21" s="37"/>
      <c r="N21" s="37"/>
      <c r="O21" s="37"/>
      <c r="P21" s="37"/>
      <c r="Q21" s="37"/>
      <c r="R21" s="37"/>
    </row>
    <row r="22">
      <c r="A22" s="43" t="s">
        <v>6</v>
      </c>
      <c r="B22" s="43" t="s">
        <v>24</v>
      </c>
      <c r="C22" s="43" t="s">
        <v>28</v>
      </c>
      <c r="D22" s="19">
        <v>123.0</v>
      </c>
      <c r="E22" s="19">
        <f t="shared" si="15"/>
        <v>129.15</v>
      </c>
      <c r="F22" s="19">
        <f t="shared" si="16"/>
        <v>139.482</v>
      </c>
      <c r="G22" s="19">
        <f t="shared" si="17"/>
        <v>159.00948</v>
      </c>
      <c r="H22" s="19">
        <f t="shared" si="18"/>
        <v>165.3698592</v>
      </c>
      <c r="I22" s="19">
        <f t="shared" si="19"/>
        <v>170.330955</v>
      </c>
      <c r="J22" s="44">
        <f t="shared" si="5"/>
        <v>886.3422942</v>
      </c>
      <c r="K22" s="27">
        <f t="shared" si="20"/>
        <v>0.006072275406</v>
      </c>
      <c r="L22" s="37"/>
      <c r="M22" s="37"/>
      <c r="N22" s="37"/>
      <c r="O22" s="37"/>
      <c r="P22" s="37"/>
      <c r="Q22" s="37"/>
      <c r="R22" s="37"/>
    </row>
    <row r="23">
      <c r="A23" s="43" t="s">
        <v>6</v>
      </c>
      <c r="B23" s="43" t="s">
        <v>24</v>
      </c>
      <c r="C23" s="43" t="s">
        <v>25</v>
      </c>
      <c r="D23" s="19">
        <v>147.0</v>
      </c>
      <c r="E23" s="19">
        <f t="shared" si="15"/>
        <v>154.35</v>
      </c>
      <c r="F23" s="19">
        <f t="shared" si="16"/>
        <v>166.698</v>
      </c>
      <c r="G23" s="19">
        <f t="shared" si="17"/>
        <v>190.03572</v>
      </c>
      <c r="H23" s="19">
        <f t="shared" si="18"/>
        <v>197.6371488</v>
      </c>
      <c r="I23" s="19">
        <f t="shared" si="19"/>
        <v>203.5662633</v>
      </c>
      <c r="J23" s="44">
        <f t="shared" si="5"/>
        <v>1059.287132</v>
      </c>
      <c r="K23" s="27">
        <f t="shared" si="20"/>
        <v>0.007257109632</v>
      </c>
      <c r="L23" s="37"/>
      <c r="M23" s="37"/>
      <c r="N23" s="37"/>
      <c r="O23" s="37"/>
      <c r="P23" s="37"/>
      <c r="Q23" s="37"/>
      <c r="R23" s="37"/>
    </row>
    <row r="24">
      <c r="A24" s="43" t="s">
        <v>6</v>
      </c>
      <c r="B24" s="43" t="s">
        <v>24</v>
      </c>
      <c r="C24" s="45" t="s">
        <v>80</v>
      </c>
      <c r="D24" s="31">
        <v>0.0</v>
      </c>
      <c r="E24" s="31">
        <f>D24-(0.02*D24)</f>
        <v>0</v>
      </c>
      <c r="F24" s="31">
        <f>E24-(0.03*E24)</f>
        <v>0</v>
      </c>
      <c r="G24" s="31">
        <f>F24-(0.02*F24)</f>
        <v>0</v>
      </c>
      <c r="H24" s="31">
        <v>10.0</v>
      </c>
      <c r="I24" s="31">
        <v>14.0</v>
      </c>
      <c r="J24" s="44">
        <f t="shared" si="5"/>
        <v>24</v>
      </c>
      <c r="K24" s="27">
        <f t="shared" si="20"/>
        <v>0.0001644224931</v>
      </c>
      <c r="L24" s="37"/>
      <c r="M24" s="37"/>
      <c r="N24" s="37"/>
      <c r="O24" s="37"/>
      <c r="P24" s="37"/>
      <c r="Q24" s="37"/>
      <c r="R24" s="37"/>
    </row>
    <row r="25">
      <c r="A25" s="43" t="s">
        <v>6</v>
      </c>
      <c r="B25" s="43" t="s">
        <v>24</v>
      </c>
      <c r="C25" s="43" t="s">
        <v>30</v>
      </c>
      <c r="D25" s="19">
        <v>105.0</v>
      </c>
      <c r="E25" s="19">
        <f t="shared" ref="E25:E26" si="21">D25+(0.05*D25)</f>
        <v>110.25</v>
      </c>
      <c r="F25" s="19">
        <f t="shared" ref="F25:F26" si="22">E25+(0.08*E25)</f>
        <v>119.07</v>
      </c>
      <c r="G25" s="19">
        <f t="shared" ref="G25:G26" si="23">F25+(0.14*F25)</f>
        <v>135.7398</v>
      </c>
      <c r="H25" s="19">
        <v>140.0</v>
      </c>
      <c r="I25" s="19">
        <f>H25+(0.03*H25)</f>
        <v>144.2</v>
      </c>
      <c r="J25" s="44">
        <f t="shared" si="5"/>
        <v>754.2598</v>
      </c>
      <c r="K25" s="27">
        <f t="shared" si="20"/>
        <v>0.005167386532</v>
      </c>
      <c r="L25" s="37"/>
      <c r="M25" s="37"/>
      <c r="N25" s="37"/>
      <c r="O25" s="37"/>
      <c r="P25" s="37"/>
      <c r="Q25" s="37"/>
      <c r="R25" s="37"/>
    </row>
    <row r="26">
      <c r="A26" s="43" t="s">
        <v>6</v>
      </c>
      <c r="B26" s="43" t="s">
        <v>24</v>
      </c>
      <c r="C26" s="43" t="s">
        <v>27</v>
      </c>
      <c r="D26" s="19">
        <v>100.0</v>
      </c>
      <c r="E26" s="19">
        <f t="shared" si="21"/>
        <v>105</v>
      </c>
      <c r="F26" s="19">
        <f t="shared" si="22"/>
        <v>113.4</v>
      </c>
      <c r="G26" s="19">
        <f t="shared" si="23"/>
        <v>129.276</v>
      </c>
      <c r="H26" s="19">
        <f>G26+(0.04*G26)</f>
        <v>134.44704</v>
      </c>
      <c r="I26" s="19">
        <v>140.0</v>
      </c>
      <c r="J26" s="44">
        <f t="shared" si="5"/>
        <v>722.12304</v>
      </c>
      <c r="K26" s="27">
        <f t="shared" si="20"/>
        <v>0.004947219607</v>
      </c>
      <c r="L26" s="37"/>
      <c r="M26" s="37"/>
      <c r="N26" s="37"/>
      <c r="O26" s="37"/>
      <c r="P26" s="37"/>
      <c r="Q26" s="37"/>
      <c r="R26" s="37"/>
    </row>
    <row r="27">
      <c r="A27" s="43" t="s">
        <v>6</v>
      </c>
      <c r="B27" s="43" t="s">
        <v>24</v>
      </c>
      <c r="C27" s="45" t="s">
        <v>34</v>
      </c>
      <c r="D27" s="31">
        <v>0.0</v>
      </c>
      <c r="E27" s="31">
        <f>D27-(0.02*D27)</f>
        <v>0</v>
      </c>
      <c r="F27" s="31">
        <v>11.0</v>
      </c>
      <c r="G27" s="31">
        <v>15.0</v>
      </c>
      <c r="H27" s="31">
        <v>20.0</v>
      </c>
      <c r="I27" s="31">
        <v>24.0</v>
      </c>
      <c r="J27" s="44">
        <f t="shared" si="5"/>
        <v>70</v>
      </c>
      <c r="K27" s="27">
        <f t="shared" si="20"/>
        <v>0.0004795656049</v>
      </c>
      <c r="L27" s="37"/>
      <c r="M27" s="37"/>
      <c r="N27" s="37"/>
      <c r="O27" s="37"/>
      <c r="P27" s="37"/>
      <c r="Q27" s="37"/>
      <c r="R27" s="37"/>
    </row>
    <row r="28">
      <c r="A28" s="43" t="s">
        <v>6</v>
      </c>
      <c r="B28" s="43" t="s">
        <v>24</v>
      </c>
      <c r="C28" s="43" t="s">
        <v>26</v>
      </c>
      <c r="D28" s="19">
        <v>104.0</v>
      </c>
      <c r="E28" s="19">
        <f>D28+(0.05*D28)</f>
        <v>109.2</v>
      </c>
      <c r="F28" s="19">
        <f>E28+(0.08*E28)</f>
        <v>117.936</v>
      </c>
      <c r="G28" s="19">
        <f>F28+(0.14*F28)</f>
        <v>134.44704</v>
      </c>
      <c r="H28" s="19">
        <f>G28+(0.04*G28)</f>
        <v>139.8249216</v>
      </c>
      <c r="I28" s="19">
        <f>H28+(0.03*H28)</f>
        <v>144.0196692</v>
      </c>
      <c r="J28" s="44">
        <f t="shared" si="5"/>
        <v>749.4276308</v>
      </c>
      <c r="K28" s="27">
        <f t="shared" si="20"/>
        <v>0.005134281644</v>
      </c>
      <c r="L28" s="37"/>
      <c r="M28" s="37"/>
      <c r="N28" s="37"/>
      <c r="O28" s="37"/>
      <c r="P28" s="37"/>
      <c r="Q28" s="37"/>
      <c r="R28" s="37"/>
    </row>
    <row r="29">
      <c r="A29" s="43" t="s">
        <v>6</v>
      </c>
      <c r="B29" s="43" t="s">
        <v>24</v>
      </c>
      <c r="C29" s="45" t="s">
        <v>92</v>
      </c>
      <c r="D29" s="31">
        <v>0.0</v>
      </c>
      <c r="E29" s="31">
        <f>D29-(0.02*D29)</f>
        <v>0</v>
      </c>
      <c r="F29" s="31">
        <f>E29-(0.03*E29)</f>
        <v>0</v>
      </c>
      <c r="G29" s="31">
        <f>F29-(0.02*F29)</f>
        <v>0</v>
      </c>
      <c r="H29" s="31">
        <f>G29-(0.01*G29)</f>
        <v>0</v>
      </c>
      <c r="I29" s="31">
        <v>10.0</v>
      </c>
      <c r="J29" s="44">
        <f t="shared" si="5"/>
        <v>10</v>
      </c>
      <c r="K29" s="27">
        <f t="shared" si="20"/>
        <v>0.00006850937213</v>
      </c>
      <c r="L29" s="37"/>
      <c r="M29" s="37"/>
      <c r="N29" s="37"/>
      <c r="O29" s="37"/>
      <c r="P29" s="37"/>
      <c r="Q29" s="37"/>
      <c r="R29" s="37"/>
    </row>
    <row r="30">
      <c r="A30" s="43" t="s">
        <v>6</v>
      </c>
      <c r="B30" s="43" t="s">
        <v>24</v>
      </c>
      <c r="C30" s="43" t="s">
        <v>31</v>
      </c>
      <c r="D30" s="19">
        <v>101.0</v>
      </c>
      <c r="E30" s="19">
        <f t="shared" ref="E30:E33" si="24">D30+(0.05*D30)</f>
        <v>106.05</v>
      </c>
      <c r="F30" s="19">
        <f t="shared" ref="F30:F33" si="25">E30+(0.08*E30)</f>
        <v>114.534</v>
      </c>
      <c r="G30" s="19">
        <f t="shared" ref="G30:G33" si="26">F30+(0.14*F30)</f>
        <v>130.56876</v>
      </c>
      <c r="H30" s="19">
        <f t="shared" ref="H30:H32" si="27">G30+(0.04*G30)</f>
        <v>135.7915104</v>
      </c>
      <c r="I30" s="19">
        <f t="shared" ref="I30:I33" si="28">H30+(0.03*H30)</f>
        <v>139.8652557</v>
      </c>
      <c r="J30" s="44">
        <f t="shared" si="5"/>
        <v>727.8095261</v>
      </c>
      <c r="K30" s="27">
        <f t="shared" si="20"/>
        <v>0.004986177366</v>
      </c>
      <c r="L30" s="37"/>
      <c r="M30" s="37"/>
      <c r="N30" s="37"/>
      <c r="O30" s="37"/>
      <c r="P30" s="37"/>
      <c r="Q30" s="37"/>
      <c r="R30" s="37"/>
    </row>
    <row r="31">
      <c r="A31" s="43" t="s">
        <v>6</v>
      </c>
      <c r="B31" s="43" t="s">
        <v>35</v>
      </c>
      <c r="C31" s="43" t="s">
        <v>48</v>
      </c>
      <c r="D31" s="19">
        <v>119.0</v>
      </c>
      <c r="E31" s="19">
        <f t="shared" si="24"/>
        <v>124.95</v>
      </c>
      <c r="F31" s="19">
        <f t="shared" si="25"/>
        <v>134.946</v>
      </c>
      <c r="G31" s="19">
        <f t="shared" si="26"/>
        <v>153.83844</v>
      </c>
      <c r="H31" s="19">
        <f t="shared" si="27"/>
        <v>159.9919776</v>
      </c>
      <c r="I31" s="19">
        <f t="shared" si="28"/>
        <v>164.7917369</v>
      </c>
      <c r="J31" s="44">
        <f t="shared" si="5"/>
        <v>857.5181545</v>
      </c>
      <c r="K31" s="27">
        <f t="shared" si="20"/>
        <v>0.005874803035</v>
      </c>
      <c r="L31" s="37"/>
      <c r="M31" s="37"/>
      <c r="N31" s="37"/>
      <c r="O31" s="37"/>
      <c r="P31" s="37"/>
      <c r="Q31" s="37"/>
      <c r="R31" s="37"/>
    </row>
    <row r="32">
      <c r="A32" s="43" t="s">
        <v>6</v>
      </c>
      <c r="B32" s="43" t="s">
        <v>35</v>
      </c>
      <c r="C32" s="43" t="s">
        <v>42</v>
      </c>
      <c r="D32" s="19">
        <v>105.0</v>
      </c>
      <c r="E32" s="19">
        <f t="shared" si="24"/>
        <v>110.25</v>
      </c>
      <c r="F32" s="19">
        <f t="shared" si="25"/>
        <v>119.07</v>
      </c>
      <c r="G32" s="19">
        <f t="shared" si="26"/>
        <v>135.7398</v>
      </c>
      <c r="H32" s="19">
        <f t="shared" si="27"/>
        <v>141.169392</v>
      </c>
      <c r="I32" s="19">
        <f t="shared" si="28"/>
        <v>145.4044738</v>
      </c>
      <c r="J32" s="44">
        <f t="shared" si="5"/>
        <v>756.6336658</v>
      </c>
      <c r="K32" s="27">
        <f t="shared" si="20"/>
        <v>0.005183649737</v>
      </c>
      <c r="L32" s="37"/>
      <c r="M32" s="37"/>
      <c r="N32" s="37"/>
      <c r="O32" s="37"/>
      <c r="P32" s="37"/>
      <c r="Q32" s="37"/>
      <c r="R32" s="37"/>
    </row>
    <row r="33">
      <c r="A33" s="43" t="s">
        <v>6</v>
      </c>
      <c r="B33" s="43" t="s">
        <v>35</v>
      </c>
      <c r="C33" s="43" t="s">
        <v>43</v>
      </c>
      <c r="D33" s="19">
        <v>122.0</v>
      </c>
      <c r="E33" s="19">
        <f t="shared" si="24"/>
        <v>128.1</v>
      </c>
      <c r="F33" s="19">
        <f t="shared" si="25"/>
        <v>138.348</v>
      </c>
      <c r="G33" s="19">
        <f t="shared" si="26"/>
        <v>157.71672</v>
      </c>
      <c r="H33" s="19">
        <v>162.0</v>
      </c>
      <c r="I33" s="19">
        <f t="shared" si="28"/>
        <v>166.86</v>
      </c>
      <c r="J33" s="44">
        <f t="shared" si="5"/>
        <v>875.02472</v>
      </c>
      <c r="K33" s="27">
        <f t="shared" si="20"/>
        <v>0.005994739416</v>
      </c>
      <c r="L33" s="37"/>
      <c r="M33" s="37"/>
      <c r="N33" s="37"/>
      <c r="O33" s="37"/>
      <c r="P33" s="37"/>
      <c r="Q33" s="37"/>
      <c r="R33" s="37"/>
    </row>
    <row r="34">
      <c r="A34" s="43" t="s">
        <v>6</v>
      </c>
      <c r="B34" s="43" t="s">
        <v>35</v>
      </c>
      <c r="C34" s="45" t="s">
        <v>49</v>
      </c>
      <c r="D34" s="31">
        <v>0.0</v>
      </c>
      <c r="E34" s="31">
        <f>D34-(0.02*D34)</f>
        <v>0</v>
      </c>
      <c r="F34" s="31">
        <f>E34-(0.03*E34)</f>
        <v>0</v>
      </c>
      <c r="G34" s="31">
        <f>F34-(0.02*F34)</f>
        <v>0</v>
      </c>
      <c r="H34" s="31">
        <v>23.0</v>
      </c>
      <c r="I34" s="31">
        <v>28.0</v>
      </c>
      <c r="J34" s="44">
        <f t="shared" si="5"/>
        <v>51</v>
      </c>
      <c r="K34" s="27">
        <f t="shared" si="20"/>
        <v>0.0003493977979</v>
      </c>
      <c r="L34" s="37"/>
      <c r="M34" s="37"/>
      <c r="N34" s="37"/>
      <c r="O34" s="37"/>
      <c r="P34" s="37"/>
      <c r="Q34" s="37"/>
      <c r="R34" s="37"/>
    </row>
    <row r="35">
      <c r="A35" s="43" t="s">
        <v>6</v>
      </c>
      <c r="B35" s="43" t="s">
        <v>35</v>
      </c>
      <c r="C35" s="43" t="s">
        <v>44</v>
      </c>
      <c r="D35" s="19">
        <v>122.0</v>
      </c>
      <c r="E35" s="19">
        <f t="shared" ref="E35:E37" si="29">D35+(0.05*D35)</f>
        <v>128.1</v>
      </c>
      <c r="F35" s="19">
        <f t="shared" ref="F35:F37" si="30">E35+(0.08*E35)</f>
        <v>138.348</v>
      </c>
      <c r="G35" s="19">
        <f t="shared" ref="G35:G37" si="31">F35+(0.14*F35)</f>
        <v>157.71672</v>
      </c>
      <c r="H35" s="19">
        <f>G35+(0.04*G35)</f>
        <v>164.0253888</v>
      </c>
      <c r="I35" s="19">
        <f t="shared" ref="I35:I37" si="32">H35+(0.03*H35)</f>
        <v>168.9461505</v>
      </c>
      <c r="J35" s="44">
        <f t="shared" si="5"/>
        <v>879.1362593</v>
      </c>
      <c r="K35" s="27">
        <f t="shared" si="20"/>
        <v>0.006022907314</v>
      </c>
      <c r="L35" s="37"/>
      <c r="M35" s="37"/>
      <c r="N35" s="37"/>
      <c r="O35" s="37"/>
      <c r="P35" s="37"/>
      <c r="Q35" s="37"/>
      <c r="R35" s="37"/>
    </row>
    <row r="36">
      <c r="A36" s="43" t="s">
        <v>6</v>
      </c>
      <c r="B36" s="43" t="s">
        <v>35</v>
      </c>
      <c r="C36" s="43" t="s">
        <v>39</v>
      </c>
      <c r="D36" s="19">
        <v>201.0</v>
      </c>
      <c r="E36" s="19">
        <f t="shared" si="29"/>
        <v>211.05</v>
      </c>
      <c r="F36" s="19">
        <f t="shared" si="30"/>
        <v>227.934</v>
      </c>
      <c r="G36" s="19">
        <f t="shared" si="31"/>
        <v>259.84476</v>
      </c>
      <c r="H36" s="19">
        <v>269.0</v>
      </c>
      <c r="I36" s="19">
        <f t="shared" si="32"/>
        <v>277.07</v>
      </c>
      <c r="J36" s="44">
        <f t="shared" si="5"/>
        <v>1445.89876</v>
      </c>
      <c r="K36" s="27">
        <f t="shared" si="20"/>
        <v>0.009905761621</v>
      </c>
      <c r="L36" s="37"/>
      <c r="M36" s="37"/>
      <c r="N36" s="37"/>
      <c r="O36" s="37"/>
      <c r="P36" s="37"/>
      <c r="Q36" s="37"/>
      <c r="R36" s="37"/>
    </row>
    <row r="37">
      <c r="A37" s="43" t="s">
        <v>6</v>
      </c>
      <c r="B37" s="43" t="s">
        <v>35</v>
      </c>
      <c r="C37" s="43" t="s">
        <v>40</v>
      </c>
      <c r="D37" s="19">
        <v>158.0</v>
      </c>
      <c r="E37" s="19">
        <f t="shared" si="29"/>
        <v>165.9</v>
      </c>
      <c r="F37" s="19">
        <f t="shared" si="30"/>
        <v>179.172</v>
      </c>
      <c r="G37" s="19">
        <f t="shared" si="31"/>
        <v>204.25608</v>
      </c>
      <c r="H37" s="19">
        <v>210.0</v>
      </c>
      <c r="I37" s="19">
        <f t="shared" si="32"/>
        <v>216.3</v>
      </c>
      <c r="J37" s="44">
        <f t="shared" si="5"/>
        <v>1133.62808</v>
      </c>
      <c r="K37" s="27">
        <f t="shared" si="20"/>
        <v>0.007766414799</v>
      </c>
      <c r="L37" s="37"/>
      <c r="M37" s="37"/>
      <c r="N37" s="37"/>
      <c r="O37" s="37"/>
      <c r="P37" s="37"/>
      <c r="Q37" s="37"/>
      <c r="R37" s="37"/>
    </row>
    <row r="38">
      <c r="A38" s="43" t="s">
        <v>6</v>
      </c>
      <c r="B38" s="43" t="s">
        <v>35</v>
      </c>
      <c r="C38" s="45" t="s">
        <v>120</v>
      </c>
      <c r="D38" s="31">
        <v>0.0</v>
      </c>
      <c r="E38" s="31">
        <f>D38-(0.02*D38)</f>
        <v>0</v>
      </c>
      <c r="F38" s="31">
        <f>E38-(0.03*E38)</f>
        <v>0</v>
      </c>
      <c r="G38" s="31">
        <f>F38-(0.02*F38)</f>
        <v>0</v>
      </c>
      <c r="H38" s="31">
        <v>20.0</v>
      </c>
      <c r="I38" s="31">
        <v>26.0</v>
      </c>
      <c r="J38" s="44">
        <f t="shared" si="5"/>
        <v>46</v>
      </c>
      <c r="K38" s="27">
        <f t="shared" si="20"/>
        <v>0.0003151431118</v>
      </c>
      <c r="L38" s="37"/>
      <c r="M38" s="37"/>
      <c r="N38" s="37"/>
      <c r="O38" s="37"/>
      <c r="P38" s="37"/>
      <c r="Q38" s="37"/>
      <c r="R38" s="37"/>
    </row>
    <row r="39">
      <c r="A39" s="43" t="s">
        <v>6</v>
      </c>
      <c r="B39" s="43" t="s">
        <v>35</v>
      </c>
      <c r="C39" s="43" t="s">
        <v>47</v>
      </c>
      <c r="D39" s="19">
        <v>62.0</v>
      </c>
      <c r="E39" s="19">
        <f t="shared" ref="E39:E64" si="33">D39+(0.05*D39)</f>
        <v>65.1</v>
      </c>
      <c r="F39" s="19">
        <f t="shared" ref="F39:F64" si="34">E39+(0.08*E39)</f>
        <v>70.308</v>
      </c>
      <c r="G39" s="19">
        <f t="shared" ref="G39:G62" si="35">F39+(0.14*F39)</f>
        <v>80.15112</v>
      </c>
      <c r="H39" s="19">
        <f t="shared" ref="H39:H40" si="36">G39+(0.04*G39)</f>
        <v>83.3571648</v>
      </c>
      <c r="I39" s="19">
        <f t="shared" ref="I39:I47" si="37">H39+(0.03*H39)</f>
        <v>85.85787974</v>
      </c>
      <c r="J39" s="44">
        <f t="shared" si="5"/>
        <v>446.7741645</v>
      </c>
      <c r="K39" s="27">
        <f t="shared" si="20"/>
        <v>0.00306082175</v>
      </c>
      <c r="L39" s="37"/>
      <c r="M39" s="37"/>
      <c r="N39" s="37"/>
      <c r="O39" s="37"/>
      <c r="P39" s="37"/>
      <c r="Q39" s="37"/>
      <c r="R39" s="37"/>
    </row>
    <row r="40">
      <c r="A40" s="43" t="s">
        <v>6</v>
      </c>
      <c r="B40" s="43" t="s">
        <v>35</v>
      </c>
      <c r="C40" s="43" t="s">
        <v>41</v>
      </c>
      <c r="D40" s="19">
        <v>96.0</v>
      </c>
      <c r="E40" s="19">
        <f t="shared" si="33"/>
        <v>100.8</v>
      </c>
      <c r="F40" s="19">
        <f t="shared" si="34"/>
        <v>108.864</v>
      </c>
      <c r="G40" s="19">
        <f t="shared" si="35"/>
        <v>124.10496</v>
      </c>
      <c r="H40" s="19">
        <f t="shared" si="36"/>
        <v>129.0691584</v>
      </c>
      <c r="I40" s="19">
        <f t="shared" si="37"/>
        <v>132.9412332</v>
      </c>
      <c r="J40" s="44">
        <f t="shared" si="5"/>
        <v>691.7793516</v>
      </c>
      <c r="K40" s="27">
        <f t="shared" si="20"/>
        <v>0.004739336903</v>
      </c>
      <c r="L40" s="37"/>
      <c r="M40" s="37"/>
      <c r="N40" s="37"/>
      <c r="O40" s="37"/>
      <c r="P40" s="37"/>
      <c r="Q40" s="37"/>
      <c r="R40" s="37"/>
    </row>
    <row r="41">
      <c r="A41" s="43" t="s">
        <v>6</v>
      </c>
      <c r="B41" s="43" t="s">
        <v>35</v>
      </c>
      <c r="C41" s="43" t="s">
        <v>36</v>
      </c>
      <c r="D41" s="19">
        <v>183.0</v>
      </c>
      <c r="E41" s="19">
        <f t="shared" si="33"/>
        <v>192.15</v>
      </c>
      <c r="F41" s="19">
        <f t="shared" si="34"/>
        <v>207.522</v>
      </c>
      <c r="G41" s="19">
        <f t="shared" si="35"/>
        <v>236.57508</v>
      </c>
      <c r="H41" s="19">
        <v>240.0</v>
      </c>
      <c r="I41" s="19">
        <f t="shared" si="37"/>
        <v>247.2</v>
      </c>
      <c r="J41" s="44">
        <f t="shared" si="5"/>
        <v>1306.44708</v>
      </c>
      <c r="K41" s="27">
        <f t="shared" si="20"/>
        <v>0.008950386917</v>
      </c>
      <c r="L41" s="37"/>
      <c r="M41" s="37"/>
      <c r="N41" s="37"/>
      <c r="O41" s="37"/>
      <c r="P41" s="37"/>
      <c r="Q41" s="37"/>
      <c r="R41" s="37"/>
    </row>
    <row r="42">
      <c r="A42" s="43" t="s">
        <v>6</v>
      </c>
      <c r="B42" s="43" t="s">
        <v>35</v>
      </c>
      <c r="C42" s="43" t="s">
        <v>45</v>
      </c>
      <c r="D42" s="19">
        <v>118.0</v>
      </c>
      <c r="E42" s="19">
        <f t="shared" si="33"/>
        <v>123.9</v>
      </c>
      <c r="F42" s="19">
        <f t="shared" si="34"/>
        <v>133.812</v>
      </c>
      <c r="G42" s="19">
        <f t="shared" si="35"/>
        <v>152.54568</v>
      </c>
      <c r="H42" s="19">
        <f>G42+(0.04*G42)</f>
        <v>158.6475072</v>
      </c>
      <c r="I42" s="19">
        <f t="shared" si="37"/>
        <v>163.4069324</v>
      </c>
      <c r="J42" s="44">
        <f t="shared" si="5"/>
        <v>850.3121196</v>
      </c>
      <c r="K42" s="27">
        <f t="shared" si="20"/>
        <v>0.005825434943</v>
      </c>
      <c r="L42" s="37"/>
      <c r="M42" s="37"/>
      <c r="N42" s="37"/>
      <c r="O42" s="37"/>
      <c r="P42" s="37"/>
      <c r="Q42" s="37"/>
      <c r="R42" s="37"/>
    </row>
    <row r="43">
      <c r="A43" s="43" t="s">
        <v>6</v>
      </c>
      <c r="B43" s="43" t="s">
        <v>35</v>
      </c>
      <c r="C43" s="43" t="s">
        <v>37</v>
      </c>
      <c r="D43" s="19">
        <v>139.0</v>
      </c>
      <c r="E43" s="19">
        <f t="shared" si="33"/>
        <v>145.95</v>
      </c>
      <c r="F43" s="19">
        <f t="shared" si="34"/>
        <v>157.626</v>
      </c>
      <c r="G43" s="19">
        <f t="shared" si="35"/>
        <v>179.69364</v>
      </c>
      <c r="H43" s="19">
        <v>183.0</v>
      </c>
      <c r="I43" s="19">
        <f t="shared" si="37"/>
        <v>188.49</v>
      </c>
      <c r="J43" s="44">
        <f t="shared" si="5"/>
        <v>993.75964</v>
      </c>
      <c r="K43" s="27">
        <f t="shared" si="20"/>
        <v>0.006808184898</v>
      </c>
      <c r="L43" s="37"/>
      <c r="M43" s="37"/>
      <c r="N43" s="37"/>
      <c r="O43" s="37"/>
      <c r="P43" s="37"/>
      <c r="Q43" s="37"/>
      <c r="R43" s="37"/>
    </row>
    <row r="44">
      <c r="A44" s="43" t="s">
        <v>6</v>
      </c>
      <c r="B44" s="43" t="s">
        <v>35</v>
      </c>
      <c r="C44" s="43" t="s">
        <v>38</v>
      </c>
      <c r="D44" s="19">
        <v>125.0</v>
      </c>
      <c r="E44" s="19">
        <f t="shared" si="33"/>
        <v>131.25</v>
      </c>
      <c r="F44" s="19">
        <f t="shared" si="34"/>
        <v>141.75</v>
      </c>
      <c r="G44" s="19">
        <f t="shared" si="35"/>
        <v>161.595</v>
      </c>
      <c r="H44" s="19">
        <f t="shared" ref="H44:H45" si="38">G44+(0.04*G44)</f>
        <v>168.0588</v>
      </c>
      <c r="I44" s="19">
        <f t="shared" si="37"/>
        <v>173.100564</v>
      </c>
      <c r="J44" s="44">
        <f t="shared" si="5"/>
        <v>900.754364</v>
      </c>
      <c r="K44" s="27">
        <f t="shared" si="20"/>
        <v>0.006171011592</v>
      </c>
      <c r="L44" s="37"/>
      <c r="M44" s="37"/>
      <c r="N44" s="37"/>
      <c r="O44" s="37"/>
      <c r="P44" s="37"/>
      <c r="Q44" s="37"/>
      <c r="R44" s="37"/>
    </row>
    <row r="45">
      <c r="A45" s="43" t="s">
        <v>6</v>
      </c>
      <c r="B45" s="43" t="s">
        <v>144</v>
      </c>
      <c r="C45" s="43" t="s">
        <v>145</v>
      </c>
      <c r="D45" s="19">
        <v>95.0</v>
      </c>
      <c r="E45" s="19">
        <f t="shared" si="33"/>
        <v>99.75</v>
      </c>
      <c r="F45" s="19">
        <f t="shared" si="34"/>
        <v>107.73</v>
      </c>
      <c r="G45" s="19">
        <f t="shared" si="35"/>
        <v>122.8122</v>
      </c>
      <c r="H45" s="19">
        <f t="shared" si="38"/>
        <v>127.724688</v>
      </c>
      <c r="I45" s="19">
        <f t="shared" si="37"/>
        <v>131.5564286</v>
      </c>
      <c r="J45" s="44">
        <f t="shared" si="5"/>
        <v>684.5733166</v>
      </c>
      <c r="K45" s="27">
        <f t="shared" si="20"/>
        <v>0.00468996881</v>
      </c>
      <c r="L45" s="37"/>
      <c r="M45" s="37"/>
      <c r="N45" s="37"/>
      <c r="O45" s="37"/>
      <c r="P45" s="37"/>
      <c r="Q45" s="37"/>
      <c r="R45" s="37"/>
    </row>
    <row r="46">
      <c r="A46" s="43" t="s">
        <v>6</v>
      </c>
      <c r="B46" s="43" t="s">
        <v>144</v>
      </c>
      <c r="C46" s="43" t="s">
        <v>148</v>
      </c>
      <c r="D46" s="19">
        <v>169.0</v>
      </c>
      <c r="E46" s="19">
        <f t="shared" si="33"/>
        <v>177.45</v>
      </c>
      <c r="F46" s="19">
        <f t="shared" si="34"/>
        <v>191.646</v>
      </c>
      <c r="G46" s="19">
        <f t="shared" si="35"/>
        <v>218.47644</v>
      </c>
      <c r="H46" s="19">
        <v>219.0</v>
      </c>
      <c r="I46" s="19">
        <f t="shared" si="37"/>
        <v>225.57</v>
      </c>
      <c r="J46" s="44">
        <f t="shared" si="5"/>
        <v>1201.14244</v>
      </c>
      <c r="K46" s="27">
        <f t="shared" si="20"/>
        <v>0.00822895144</v>
      </c>
      <c r="L46" s="37"/>
      <c r="M46" s="37"/>
      <c r="N46" s="37"/>
      <c r="O46" s="37"/>
      <c r="P46" s="37"/>
      <c r="Q46" s="37"/>
      <c r="R46" s="37"/>
    </row>
    <row r="47">
      <c r="A47" s="43" t="s">
        <v>6</v>
      </c>
      <c r="B47" s="43" t="s">
        <v>144</v>
      </c>
      <c r="C47" s="43" t="s">
        <v>150</v>
      </c>
      <c r="D47" s="19">
        <v>101.0</v>
      </c>
      <c r="E47" s="19">
        <f t="shared" si="33"/>
        <v>106.05</v>
      </c>
      <c r="F47" s="19">
        <f t="shared" si="34"/>
        <v>114.534</v>
      </c>
      <c r="G47" s="19">
        <f t="shared" si="35"/>
        <v>130.56876</v>
      </c>
      <c r="H47" s="19">
        <f t="shared" ref="H47:H49" si="39">G47+(0.04*G47)</f>
        <v>135.7915104</v>
      </c>
      <c r="I47" s="19">
        <f t="shared" si="37"/>
        <v>139.8652557</v>
      </c>
      <c r="J47" s="44">
        <f t="shared" si="5"/>
        <v>727.8095261</v>
      </c>
      <c r="K47" s="27">
        <f t="shared" si="20"/>
        <v>0.004986177366</v>
      </c>
      <c r="L47" s="37"/>
      <c r="M47" s="37"/>
      <c r="N47" s="37"/>
      <c r="O47" s="37"/>
      <c r="P47" s="37"/>
      <c r="Q47" s="37"/>
      <c r="R47" s="37"/>
    </row>
    <row r="48">
      <c r="A48" s="43" t="s">
        <v>6</v>
      </c>
      <c r="B48" s="43" t="s">
        <v>144</v>
      </c>
      <c r="C48" s="43" t="s">
        <v>154</v>
      </c>
      <c r="D48" s="19">
        <v>142.0</v>
      </c>
      <c r="E48" s="19">
        <f t="shared" si="33"/>
        <v>149.1</v>
      </c>
      <c r="F48" s="19">
        <f t="shared" si="34"/>
        <v>161.028</v>
      </c>
      <c r="G48" s="19">
        <f t="shared" si="35"/>
        <v>183.57192</v>
      </c>
      <c r="H48" s="19">
        <f t="shared" si="39"/>
        <v>190.9147968</v>
      </c>
      <c r="I48" s="19">
        <v>200.0</v>
      </c>
      <c r="J48" s="44">
        <f t="shared" si="5"/>
        <v>1026.614717</v>
      </c>
      <c r="K48" s="27">
        <f t="shared" si="20"/>
        <v>0.007033272967</v>
      </c>
      <c r="L48" s="37"/>
      <c r="M48" s="37"/>
      <c r="N48" s="37"/>
      <c r="O48" s="37"/>
      <c r="P48" s="37"/>
      <c r="Q48" s="37"/>
      <c r="R48" s="37"/>
    </row>
    <row r="49">
      <c r="A49" s="43" t="s">
        <v>6</v>
      </c>
      <c r="B49" s="43" t="s">
        <v>144</v>
      </c>
      <c r="C49" s="43" t="s">
        <v>158</v>
      </c>
      <c r="D49" s="19">
        <v>99.0</v>
      </c>
      <c r="E49" s="19">
        <f t="shared" si="33"/>
        <v>103.95</v>
      </c>
      <c r="F49" s="19">
        <f t="shared" si="34"/>
        <v>112.266</v>
      </c>
      <c r="G49" s="19">
        <f t="shared" si="35"/>
        <v>127.98324</v>
      </c>
      <c r="H49" s="19">
        <f t="shared" si="39"/>
        <v>133.1025696</v>
      </c>
      <c r="I49" s="19">
        <f t="shared" ref="I49:I51" si="40">H49+(0.03*H49)</f>
        <v>137.0956467</v>
      </c>
      <c r="J49" s="44">
        <f t="shared" si="5"/>
        <v>713.3974563</v>
      </c>
      <c r="K49" s="27">
        <f t="shared" si="20"/>
        <v>0.004887441181</v>
      </c>
      <c r="L49" s="37"/>
      <c r="M49" s="37"/>
      <c r="N49" s="37"/>
      <c r="O49" s="37"/>
      <c r="P49" s="37"/>
      <c r="Q49" s="37"/>
      <c r="R49" s="37"/>
    </row>
    <row r="50">
      <c r="A50" s="43" t="s">
        <v>6</v>
      </c>
      <c r="B50" s="43" t="s">
        <v>144</v>
      </c>
      <c r="C50" s="43" t="s">
        <v>161</v>
      </c>
      <c r="D50" s="19">
        <v>174.0</v>
      </c>
      <c r="E50" s="19">
        <f t="shared" si="33"/>
        <v>182.7</v>
      </c>
      <c r="F50" s="19">
        <f t="shared" si="34"/>
        <v>197.316</v>
      </c>
      <c r="G50" s="19">
        <f t="shared" si="35"/>
        <v>224.94024</v>
      </c>
      <c r="H50" s="19">
        <v>230.0</v>
      </c>
      <c r="I50" s="19">
        <f t="shared" si="40"/>
        <v>236.9</v>
      </c>
      <c r="J50" s="44">
        <f t="shared" si="5"/>
        <v>1245.85624</v>
      </c>
      <c r="K50" s="27">
        <f t="shared" si="20"/>
        <v>0.008535282876</v>
      </c>
      <c r="L50" s="37"/>
      <c r="M50" s="37"/>
      <c r="N50" s="37"/>
      <c r="O50" s="37"/>
      <c r="P50" s="37"/>
      <c r="Q50" s="37"/>
      <c r="R50" s="37"/>
    </row>
    <row r="51">
      <c r="A51" s="43" t="s">
        <v>6</v>
      </c>
      <c r="B51" s="43" t="s">
        <v>144</v>
      </c>
      <c r="C51" s="43" t="s">
        <v>164</v>
      </c>
      <c r="D51" s="19">
        <v>118.0</v>
      </c>
      <c r="E51" s="19">
        <f t="shared" si="33"/>
        <v>123.9</v>
      </c>
      <c r="F51" s="19">
        <f t="shared" si="34"/>
        <v>133.812</v>
      </c>
      <c r="G51" s="19">
        <f t="shared" si="35"/>
        <v>152.54568</v>
      </c>
      <c r="H51" s="19">
        <f t="shared" ref="H51:H63" si="41">G51+(0.04*G51)</f>
        <v>158.6475072</v>
      </c>
      <c r="I51" s="19">
        <f t="shared" si="40"/>
        <v>163.4069324</v>
      </c>
      <c r="J51" s="44">
        <f t="shared" si="5"/>
        <v>850.3121196</v>
      </c>
      <c r="K51" s="27">
        <f t="shared" si="20"/>
        <v>0.005825434943</v>
      </c>
      <c r="L51" s="37"/>
      <c r="M51" s="37"/>
      <c r="N51" s="37"/>
      <c r="O51" s="37"/>
      <c r="P51" s="37"/>
      <c r="Q51" s="37"/>
      <c r="R51" s="37"/>
    </row>
    <row r="52">
      <c r="A52" s="43" t="s">
        <v>6</v>
      </c>
      <c r="B52" s="43" t="s">
        <v>144</v>
      </c>
      <c r="C52" s="43" t="s">
        <v>167</v>
      </c>
      <c r="D52" s="19">
        <v>71.0</v>
      </c>
      <c r="E52" s="19">
        <f t="shared" si="33"/>
        <v>74.55</v>
      </c>
      <c r="F52" s="19">
        <f t="shared" si="34"/>
        <v>80.514</v>
      </c>
      <c r="G52" s="19">
        <f t="shared" si="35"/>
        <v>91.78596</v>
      </c>
      <c r="H52" s="19">
        <f t="shared" si="41"/>
        <v>95.4573984</v>
      </c>
      <c r="I52" s="19">
        <v>100.0</v>
      </c>
      <c r="J52" s="44">
        <f t="shared" si="5"/>
        <v>513.3073584</v>
      </c>
      <c r="K52" s="27">
        <f t="shared" si="20"/>
        <v>0.003516636483</v>
      </c>
      <c r="L52" s="37"/>
      <c r="M52" s="37"/>
      <c r="N52" s="37"/>
      <c r="O52" s="37"/>
      <c r="P52" s="37"/>
      <c r="Q52" s="37"/>
      <c r="R52" s="37"/>
    </row>
    <row r="53">
      <c r="A53" s="43" t="s">
        <v>50</v>
      </c>
      <c r="B53" s="43" t="s">
        <v>50</v>
      </c>
      <c r="C53" s="43" t="s">
        <v>58</v>
      </c>
      <c r="D53" s="19">
        <v>101.0</v>
      </c>
      <c r="E53" s="19">
        <f t="shared" si="33"/>
        <v>106.05</v>
      </c>
      <c r="F53" s="19">
        <f t="shared" si="34"/>
        <v>114.534</v>
      </c>
      <c r="G53" s="19">
        <f t="shared" si="35"/>
        <v>130.56876</v>
      </c>
      <c r="H53" s="19">
        <f t="shared" si="41"/>
        <v>135.7915104</v>
      </c>
      <c r="I53" s="19">
        <f t="shared" ref="I53:I60" si="42">H53+(0.03*H53)</f>
        <v>139.8652557</v>
      </c>
      <c r="J53" s="44">
        <f t="shared" si="5"/>
        <v>727.8095261</v>
      </c>
      <c r="K53" s="27">
        <f t="shared" si="20"/>
        <v>0.004986177366</v>
      </c>
      <c r="L53" s="37"/>
      <c r="M53" s="37"/>
      <c r="N53" s="37"/>
      <c r="O53" s="37"/>
      <c r="P53" s="37"/>
      <c r="Q53" s="37"/>
      <c r="R53" s="37"/>
    </row>
    <row r="54">
      <c r="A54" s="43" t="s">
        <v>50</v>
      </c>
      <c r="B54" s="43" t="s">
        <v>50</v>
      </c>
      <c r="C54" s="43" t="s">
        <v>66</v>
      </c>
      <c r="D54" s="19">
        <v>85.0</v>
      </c>
      <c r="E54" s="19">
        <f t="shared" si="33"/>
        <v>89.25</v>
      </c>
      <c r="F54" s="19">
        <f t="shared" si="34"/>
        <v>96.39</v>
      </c>
      <c r="G54" s="19">
        <f t="shared" si="35"/>
        <v>109.8846</v>
      </c>
      <c r="H54" s="19">
        <f t="shared" si="41"/>
        <v>114.279984</v>
      </c>
      <c r="I54" s="19">
        <f t="shared" si="42"/>
        <v>117.7083835</v>
      </c>
      <c r="J54" s="44">
        <f t="shared" si="5"/>
        <v>612.5129675</v>
      </c>
      <c r="K54" s="27">
        <f t="shared" si="20"/>
        <v>0.004196287882</v>
      </c>
      <c r="L54" s="37"/>
      <c r="M54" s="37"/>
      <c r="N54" s="37"/>
      <c r="O54" s="37"/>
      <c r="P54" s="37"/>
      <c r="Q54" s="37"/>
      <c r="R54" s="37"/>
    </row>
    <row r="55">
      <c r="A55" s="43" t="s">
        <v>50</v>
      </c>
      <c r="B55" s="43" t="s">
        <v>50</v>
      </c>
      <c r="C55" s="43" t="s">
        <v>53</v>
      </c>
      <c r="D55" s="19">
        <v>115.0</v>
      </c>
      <c r="E55" s="19">
        <f t="shared" si="33"/>
        <v>120.75</v>
      </c>
      <c r="F55" s="19">
        <f t="shared" si="34"/>
        <v>130.41</v>
      </c>
      <c r="G55" s="19">
        <f t="shared" si="35"/>
        <v>148.6674</v>
      </c>
      <c r="H55" s="19">
        <f t="shared" si="41"/>
        <v>154.614096</v>
      </c>
      <c r="I55" s="19">
        <f t="shared" si="42"/>
        <v>159.2525189</v>
      </c>
      <c r="J55" s="44">
        <f t="shared" si="5"/>
        <v>828.6940149</v>
      </c>
      <c r="K55" s="27">
        <f t="shared" si="20"/>
        <v>0.005677330665</v>
      </c>
      <c r="L55" s="37"/>
      <c r="M55" s="37"/>
      <c r="N55" s="37"/>
      <c r="O55" s="37"/>
      <c r="P55" s="37"/>
      <c r="Q55" s="37"/>
      <c r="R55" s="37"/>
    </row>
    <row r="56">
      <c r="A56" s="43" t="s">
        <v>50</v>
      </c>
      <c r="B56" s="43" t="s">
        <v>50</v>
      </c>
      <c r="C56" s="43" t="s">
        <v>55</v>
      </c>
      <c r="D56" s="19">
        <v>172.0</v>
      </c>
      <c r="E56" s="19">
        <f t="shared" si="33"/>
        <v>180.6</v>
      </c>
      <c r="F56" s="19">
        <f t="shared" si="34"/>
        <v>195.048</v>
      </c>
      <c r="G56" s="19">
        <f t="shared" si="35"/>
        <v>222.35472</v>
      </c>
      <c r="H56" s="19">
        <f t="shared" si="41"/>
        <v>231.2489088</v>
      </c>
      <c r="I56" s="19">
        <f t="shared" si="42"/>
        <v>238.1863761</v>
      </c>
      <c r="J56" s="44">
        <f t="shared" si="5"/>
        <v>1239.438005</v>
      </c>
      <c r="K56" s="27">
        <f t="shared" si="20"/>
        <v>0.00849131195</v>
      </c>
      <c r="L56" s="37"/>
      <c r="M56" s="37"/>
      <c r="N56" s="37"/>
      <c r="O56" s="37"/>
      <c r="P56" s="37"/>
      <c r="Q56" s="37"/>
      <c r="R56" s="37"/>
    </row>
    <row r="57">
      <c r="A57" s="43" t="s">
        <v>50</v>
      </c>
      <c r="B57" s="43" t="s">
        <v>50</v>
      </c>
      <c r="C57" s="43" t="s">
        <v>63</v>
      </c>
      <c r="D57" s="19">
        <v>193.0</v>
      </c>
      <c r="E57" s="19">
        <f t="shared" si="33"/>
        <v>202.65</v>
      </c>
      <c r="F57" s="19">
        <f t="shared" si="34"/>
        <v>218.862</v>
      </c>
      <c r="G57" s="19">
        <f t="shared" si="35"/>
        <v>249.50268</v>
      </c>
      <c r="H57" s="19">
        <f t="shared" si="41"/>
        <v>259.4827872</v>
      </c>
      <c r="I57" s="19">
        <f t="shared" si="42"/>
        <v>267.2672708</v>
      </c>
      <c r="J57" s="44">
        <f t="shared" si="5"/>
        <v>1390.764738</v>
      </c>
      <c r="K57" s="27">
        <f t="shared" si="20"/>
        <v>0.009528041898</v>
      </c>
      <c r="L57" s="37"/>
      <c r="M57" s="37"/>
      <c r="N57" s="37"/>
      <c r="O57" s="37"/>
      <c r="P57" s="37"/>
      <c r="Q57" s="37"/>
      <c r="R57" s="37"/>
    </row>
    <row r="58">
      <c r="A58" s="43" t="s">
        <v>50</v>
      </c>
      <c r="B58" s="43" t="s">
        <v>50</v>
      </c>
      <c r="C58" s="43" t="s">
        <v>52</v>
      </c>
      <c r="D58" s="61">
        <v>117.0</v>
      </c>
      <c r="E58" s="19">
        <f t="shared" si="33"/>
        <v>122.85</v>
      </c>
      <c r="F58" s="19">
        <f t="shared" si="34"/>
        <v>132.678</v>
      </c>
      <c r="G58" s="19">
        <f t="shared" si="35"/>
        <v>151.25292</v>
      </c>
      <c r="H58" s="19">
        <f t="shared" si="41"/>
        <v>157.3030368</v>
      </c>
      <c r="I58" s="19">
        <f t="shared" si="42"/>
        <v>162.0221279</v>
      </c>
      <c r="J58" s="44">
        <f t="shared" si="5"/>
        <v>843.1060847</v>
      </c>
      <c r="K58" s="27">
        <f t="shared" si="20"/>
        <v>0.00577606685</v>
      </c>
      <c r="L58" s="37"/>
      <c r="M58" s="37"/>
      <c r="N58" s="37"/>
      <c r="O58" s="37"/>
      <c r="P58" s="37"/>
      <c r="Q58" s="37"/>
      <c r="R58" s="37"/>
    </row>
    <row r="59">
      <c r="A59" s="43" t="s">
        <v>50</v>
      </c>
      <c r="B59" s="43" t="s">
        <v>50</v>
      </c>
      <c r="C59" s="43" t="s">
        <v>54</v>
      </c>
      <c r="D59" s="19">
        <v>138.0</v>
      </c>
      <c r="E59" s="19">
        <f t="shared" si="33"/>
        <v>144.9</v>
      </c>
      <c r="F59" s="19">
        <f t="shared" si="34"/>
        <v>156.492</v>
      </c>
      <c r="G59" s="19">
        <f t="shared" si="35"/>
        <v>178.40088</v>
      </c>
      <c r="H59" s="19">
        <f t="shared" si="41"/>
        <v>185.5369152</v>
      </c>
      <c r="I59" s="19">
        <f t="shared" si="42"/>
        <v>191.1030227</v>
      </c>
      <c r="J59" s="44">
        <f t="shared" si="5"/>
        <v>994.4328179</v>
      </c>
      <c r="K59" s="27">
        <f t="shared" si="20"/>
        <v>0.006812796797</v>
      </c>
      <c r="L59" s="37"/>
      <c r="M59" s="37"/>
      <c r="N59" s="37"/>
      <c r="O59" s="37"/>
      <c r="P59" s="37"/>
      <c r="Q59" s="37"/>
      <c r="R59" s="37"/>
    </row>
    <row r="60">
      <c r="A60" s="43" t="s">
        <v>50</v>
      </c>
      <c r="B60" s="43" t="s">
        <v>50</v>
      </c>
      <c r="C60" s="43" t="s">
        <v>57</v>
      </c>
      <c r="D60" s="19">
        <v>88.0</v>
      </c>
      <c r="E60" s="19">
        <f t="shared" si="33"/>
        <v>92.4</v>
      </c>
      <c r="F60" s="19">
        <f t="shared" si="34"/>
        <v>99.792</v>
      </c>
      <c r="G60" s="19">
        <f t="shared" si="35"/>
        <v>113.76288</v>
      </c>
      <c r="H60" s="19">
        <f t="shared" si="41"/>
        <v>118.3133952</v>
      </c>
      <c r="I60" s="19">
        <f t="shared" si="42"/>
        <v>121.8627971</v>
      </c>
      <c r="J60" s="44">
        <f t="shared" si="5"/>
        <v>634.1310723</v>
      </c>
      <c r="K60" s="27">
        <f t="shared" si="20"/>
        <v>0.004344392161</v>
      </c>
      <c r="L60" s="37"/>
      <c r="M60" s="37"/>
      <c r="N60" s="37"/>
      <c r="O60" s="37"/>
      <c r="P60" s="37"/>
      <c r="Q60" s="37"/>
      <c r="R60" s="37"/>
    </row>
    <row r="61">
      <c r="A61" s="43" t="s">
        <v>50</v>
      </c>
      <c r="B61" s="43" t="s">
        <v>50</v>
      </c>
      <c r="C61" s="43" t="s">
        <v>56</v>
      </c>
      <c r="D61" s="19">
        <v>105.0</v>
      </c>
      <c r="E61" s="19">
        <f t="shared" si="33"/>
        <v>110.25</v>
      </c>
      <c r="F61" s="19">
        <f t="shared" si="34"/>
        <v>119.07</v>
      </c>
      <c r="G61" s="19">
        <f t="shared" si="35"/>
        <v>135.7398</v>
      </c>
      <c r="H61" s="19">
        <f t="shared" si="41"/>
        <v>141.169392</v>
      </c>
      <c r="I61" s="19">
        <v>149.0</v>
      </c>
      <c r="J61" s="44">
        <f t="shared" si="5"/>
        <v>760.229192</v>
      </c>
      <c r="K61" s="27">
        <f t="shared" si="20"/>
        <v>0.005208282462</v>
      </c>
      <c r="L61" s="37"/>
      <c r="M61" s="37"/>
      <c r="N61" s="37"/>
      <c r="O61" s="37"/>
      <c r="P61" s="37"/>
      <c r="Q61" s="37"/>
      <c r="R61" s="37"/>
    </row>
    <row r="62">
      <c r="A62" s="43" t="s">
        <v>50</v>
      </c>
      <c r="B62" s="43" t="s">
        <v>50</v>
      </c>
      <c r="C62" s="43" t="s">
        <v>65</v>
      </c>
      <c r="D62" s="19">
        <v>83.0</v>
      </c>
      <c r="E62" s="19">
        <f t="shared" si="33"/>
        <v>87.15</v>
      </c>
      <c r="F62" s="19">
        <f t="shared" si="34"/>
        <v>94.122</v>
      </c>
      <c r="G62" s="19">
        <f t="shared" si="35"/>
        <v>107.29908</v>
      </c>
      <c r="H62" s="19">
        <f t="shared" si="41"/>
        <v>111.5910432</v>
      </c>
      <c r="I62" s="19">
        <v>118.0</v>
      </c>
      <c r="J62" s="44">
        <f t="shared" si="5"/>
        <v>601.1621232</v>
      </c>
      <c r="K62" s="27">
        <f t="shared" si="20"/>
        <v>0.004118523961</v>
      </c>
      <c r="L62" s="37"/>
      <c r="M62" s="37"/>
      <c r="N62" s="37"/>
      <c r="O62" s="37"/>
      <c r="P62" s="37"/>
      <c r="Q62" s="37"/>
      <c r="R62" s="37"/>
    </row>
    <row r="63">
      <c r="A63" s="43" t="s">
        <v>50</v>
      </c>
      <c r="B63" s="43" t="s">
        <v>171</v>
      </c>
      <c r="C63" s="43" t="s">
        <v>69</v>
      </c>
      <c r="D63" s="19">
        <v>283.0</v>
      </c>
      <c r="E63" s="19">
        <f t="shared" si="33"/>
        <v>297.15</v>
      </c>
      <c r="F63" s="19">
        <f t="shared" si="34"/>
        <v>320.922</v>
      </c>
      <c r="G63" s="19">
        <v>340.0</v>
      </c>
      <c r="H63" s="19">
        <f t="shared" si="41"/>
        <v>353.6</v>
      </c>
      <c r="I63" s="19">
        <v>360.0</v>
      </c>
      <c r="J63" s="44">
        <f t="shared" si="5"/>
        <v>1954.672</v>
      </c>
      <c r="K63" s="27">
        <f t="shared" si="20"/>
        <v>0.01339133514</v>
      </c>
      <c r="L63" s="37"/>
      <c r="M63" s="37"/>
      <c r="N63" s="37"/>
      <c r="O63" s="37"/>
      <c r="P63" s="37"/>
      <c r="Q63" s="37"/>
      <c r="R63" s="37"/>
    </row>
    <row r="64">
      <c r="A64" s="43" t="s">
        <v>50</v>
      </c>
      <c r="B64" s="43" t="s">
        <v>171</v>
      </c>
      <c r="C64" s="43" t="s">
        <v>70</v>
      </c>
      <c r="D64" s="19">
        <v>221.0</v>
      </c>
      <c r="E64" s="19">
        <f t="shared" si="33"/>
        <v>232.05</v>
      </c>
      <c r="F64" s="19">
        <f t="shared" si="34"/>
        <v>250.614</v>
      </c>
      <c r="G64" s="19">
        <f>F64+(0.14*F64)</f>
        <v>285.69996</v>
      </c>
      <c r="H64" s="19">
        <v>290.0</v>
      </c>
      <c r="I64" s="19">
        <f>H64+(0.03*H64)</f>
        <v>298.7</v>
      </c>
      <c r="J64" s="44">
        <f t="shared" si="5"/>
        <v>1578.06396</v>
      </c>
      <c r="K64" s="27">
        <f t="shared" si="20"/>
        <v>0.01081121711</v>
      </c>
      <c r="L64" s="37"/>
      <c r="M64" s="37"/>
      <c r="N64" s="37"/>
      <c r="O64" s="37"/>
      <c r="P64" s="37"/>
      <c r="Q64" s="37"/>
      <c r="R64" s="37"/>
    </row>
    <row r="65">
      <c r="A65" s="43" t="s">
        <v>50</v>
      </c>
      <c r="B65" s="43" t="s">
        <v>171</v>
      </c>
      <c r="C65" s="45" t="s">
        <v>75</v>
      </c>
      <c r="D65" s="31">
        <v>0.0</v>
      </c>
      <c r="E65" s="31">
        <f>D65-(0.02*D65)</f>
        <v>0</v>
      </c>
      <c r="F65" s="31">
        <f>E65-(0.03*E65)</f>
        <v>0</v>
      </c>
      <c r="G65" s="31">
        <v>48.0</v>
      </c>
      <c r="H65" s="31">
        <v>52.0</v>
      </c>
      <c r="I65" s="31">
        <v>59.0</v>
      </c>
      <c r="J65" s="44">
        <f t="shared" si="5"/>
        <v>159</v>
      </c>
      <c r="K65" s="27">
        <f t="shared" si="20"/>
        <v>0.001089299017</v>
      </c>
      <c r="L65" s="37"/>
      <c r="M65" s="37"/>
      <c r="N65" s="37"/>
      <c r="O65" s="37"/>
      <c r="P65" s="37"/>
      <c r="Q65" s="37"/>
      <c r="R65" s="37"/>
    </row>
    <row r="66">
      <c r="A66" s="43" t="s">
        <v>50</v>
      </c>
      <c r="B66" s="43" t="s">
        <v>171</v>
      </c>
      <c r="C66" s="43" t="s">
        <v>74</v>
      </c>
      <c r="D66" s="19">
        <v>182.0</v>
      </c>
      <c r="E66" s="19">
        <f t="shared" ref="E66:E68" si="43">D66+(0.05*D66)</f>
        <v>191.1</v>
      </c>
      <c r="F66" s="19">
        <f t="shared" ref="F66:F68" si="44">E66+(0.08*E66)</f>
        <v>206.388</v>
      </c>
      <c r="G66" s="19">
        <f t="shared" ref="G66:G68" si="45">F66+(0.14*F66)</f>
        <v>235.28232</v>
      </c>
      <c r="H66" s="19">
        <f t="shared" ref="H66:H68" si="46">G66+(0.04*G66)</f>
        <v>244.6936128</v>
      </c>
      <c r="I66" s="19">
        <f t="shared" ref="I66:I68" si="47">H66+(0.03*H66)</f>
        <v>252.0344212</v>
      </c>
      <c r="J66" s="44">
        <f t="shared" si="5"/>
        <v>1311.498354</v>
      </c>
      <c r="K66" s="27">
        <f t="shared" si="20"/>
        <v>0.008984992878</v>
      </c>
      <c r="L66" s="37"/>
      <c r="M66" s="37"/>
      <c r="N66" s="37"/>
      <c r="O66" s="37"/>
      <c r="P66" s="37"/>
      <c r="Q66" s="37"/>
      <c r="R66" s="37"/>
    </row>
    <row r="67">
      <c r="A67" s="43" t="s">
        <v>50</v>
      </c>
      <c r="B67" s="43" t="s">
        <v>171</v>
      </c>
      <c r="C67" s="43" t="s">
        <v>71</v>
      </c>
      <c r="D67" s="19">
        <v>147.0</v>
      </c>
      <c r="E67" s="19">
        <f t="shared" si="43"/>
        <v>154.35</v>
      </c>
      <c r="F67" s="19">
        <f t="shared" si="44"/>
        <v>166.698</v>
      </c>
      <c r="G67" s="19">
        <f t="shared" si="45"/>
        <v>190.03572</v>
      </c>
      <c r="H67" s="19">
        <f t="shared" si="46"/>
        <v>197.6371488</v>
      </c>
      <c r="I67" s="19">
        <f t="shared" si="47"/>
        <v>203.5662633</v>
      </c>
      <c r="J67" s="44">
        <f t="shared" si="5"/>
        <v>1059.287132</v>
      </c>
      <c r="K67" s="27">
        <f t="shared" si="20"/>
        <v>0.007257109632</v>
      </c>
      <c r="L67" s="37"/>
      <c r="M67" s="37"/>
      <c r="N67" s="37"/>
      <c r="O67" s="37"/>
      <c r="P67" s="37"/>
      <c r="Q67" s="37"/>
      <c r="R67" s="37"/>
    </row>
    <row r="68">
      <c r="A68" s="43" t="s">
        <v>50</v>
      </c>
      <c r="B68" s="43" t="s">
        <v>171</v>
      </c>
      <c r="C68" s="43" t="s">
        <v>61</v>
      </c>
      <c r="D68" s="19">
        <v>233.0</v>
      </c>
      <c r="E68" s="19">
        <f t="shared" si="43"/>
        <v>244.65</v>
      </c>
      <c r="F68" s="19">
        <f t="shared" si="44"/>
        <v>264.222</v>
      </c>
      <c r="G68" s="19">
        <f t="shared" si="45"/>
        <v>301.21308</v>
      </c>
      <c r="H68" s="19">
        <f t="shared" si="46"/>
        <v>313.2616032</v>
      </c>
      <c r="I68" s="19">
        <f t="shared" si="47"/>
        <v>322.6594513</v>
      </c>
      <c r="J68" s="44">
        <f t="shared" si="5"/>
        <v>1679.006134</v>
      </c>
      <c r="K68" s="27">
        <f t="shared" si="20"/>
        <v>0.01150276561</v>
      </c>
      <c r="L68" s="37"/>
      <c r="M68" s="37"/>
      <c r="N68" s="37"/>
      <c r="O68" s="37"/>
      <c r="P68" s="37"/>
      <c r="Q68" s="37"/>
      <c r="R68" s="37"/>
    </row>
    <row r="69">
      <c r="A69" s="43" t="s">
        <v>50</v>
      </c>
      <c r="B69" s="43" t="s">
        <v>171</v>
      </c>
      <c r="C69" s="45" t="s">
        <v>67</v>
      </c>
      <c r="D69" s="31">
        <v>0.0</v>
      </c>
      <c r="E69" s="31">
        <f>D69-(0.02*D69)</f>
        <v>0</v>
      </c>
      <c r="F69" s="31">
        <f>E69-(0.03*E69)</f>
        <v>0</v>
      </c>
      <c r="G69" s="31">
        <v>41.0</v>
      </c>
      <c r="H69" s="31">
        <v>53.0</v>
      </c>
      <c r="I69" s="31">
        <v>62.0</v>
      </c>
      <c r="J69" s="44">
        <f t="shared" si="5"/>
        <v>156</v>
      </c>
      <c r="K69" s="27">
        <f t="shared" si="20"/>
        <v>0.001068746205</v>
      </c>
      <c r="L69" s="37"/>
      <c r="M69" s="37"/>
      <c r="N69" s="37"/>
      <c r="O69" s="37"/>
      <c r="P69" s="37"/>
      <c r="Q69" s="37"/>
      <c r="R69" s="37"/>
    </row>
    <row r="70">
      <c r="A70" s="43" t="s">
        <v>50</v>
      </c>
      <c r="B70" s="43" t="s">
        <v>171</v>
      </c>
      <c r="C70" s="43" t="s">
        <v>72</v>
      </c>
      <c r="D70" s="19">
        <v>136.0</v>
      </c>
      <c r="E70" s="19">
        <f t="shared" ref="E70:E73" si="48">D70+(0.05*D70)</f>
        <v>142.8</v>
      </c>
      <c r="F70" s="19">
        <f t="shared" ref="F70:F71" si="49">E70+(0.08*E70)</f>
        <v>154.224</v>
      </c>
      <c r="G70" s="19">
        <f t="shared" ref="G70:G73" si="50">F70+(0.14*F70)</f>
        <v>175.81536</v>
      </c>
      <c r="H70" s="19">
        <f t="shared" ref="H70:H73" si="51">G70+(0.04*G70)</f>
        <v>182.8479744</v>
      </c>
      <c r="I70" s="19">
        <f>H70+(0.03*H70)</f>
        <v>188.3334136</v>
      </c>
      <c r="J70" s="44">
        <f t="shared" si="5"/>
        <v>980.020748</v>
      </c>
      <c r="K70" s="27">
        <f t="shared" si="20"/>
        <v>0.006714060612</v>
      </c>
      <c r="L70" s="37"/>
      <c r="M70" s="37"/>
      <c r="N70" s="37"/>
      <c r="O70" s="37"/>
      <c r="P70" s="37"/>
      <c r="Q70" s="37"/>
      <c r="R70" s="37"/>
    </row>
    <row r="71">
      <c r="A71" s="43" t="s">
        <v>50</v>
      </c>
      <c r="B71" s="43" t="s">
        <v>171</v>
      </c>
      <c r="C71" s="43" t="s">
        <v>62</v>
      </c>
      <c r="D71" s="19">
        <v>112.0</v>
      </c>
      <c r="E71" s="19">
        <f t="shared" si="48"/>
        <v>117.6</v>
      </c>
      <c r="F71" s="19">
        <f t="shared" si="49"/>
        <v>127.008</v>
      </c>
      <c r="G71" s="19">
        <f t="shared" si="50"/>
        <v>144.78912</v>
      </c>
      <c r="H71" s="19">
        <f t="shared" si="51"/>
        <v>150.5806848</v>
      </c>
      <c r="I71" s="19">
        <v>160.0</v>
      </c>
      <c r="J71" s="44">
        <f t="shared" si="5"/>
        <v>811.9778048</v>
      </c>
      <c r="K71" s="27">
        <f t="shared" si="20"/>
        <v>0.005562808959</v>
      </c>
      <c r="L71" s="37"/>
      <c r="M71" s="37"/>
      <c r="N71" s="37"/>
      <c r="O71" s="37"/>
      <c r="P71" s="37"/>
      <c r="Q71" s="37"/>
      <c r="R71" s="37"/>
    </row>
    <row r="72">
      <c r="A72" s="43" t="s">
        <v>50</v>
      </c>
      <c r="B72" s="43" t="s">
        <v>171</v>
      </c>
      <c r="C72" s="43" t="s">
        <v>51</v>
      </c>
      <c r="D72" s="19">
        <v>167.0</v>
      </c>
      <c r="E72" s="19">
        <f t="shared" si="48"/>
        <v>175.35</v>
      </c>
      <c r="F72" s="19">
        <v>180.0</v>
      </c>
      <c r="G72" s="19">
        <f t="shared" si="50"/>
        <v>205.2</v>
      </c>
      <c r="H72" s="19">
        <f t="shared" si="51"/>
        <v>213.408</v>
      </c>
      <c r="I72" s="19">
        <f t="shared" ref="I72:I73" si="52">H72+(0.03*H72)</f>
        <v>219.81024</v>
      </c>
      <c r="J72" s="44">
        <f t="shared" si="5"/>
        <v>1160.76824</v>
      </c>
      <c r="K72" s="27">
        <f t="shared" si="20"/>
        <v>0.007952350331</v>
      </c>
      <c r="L72" s="37"/>
      <c r="M72" s="37"/>
      <c r="N72" s="37"/>
      <c r="O72" s="37"/>
      <c r="P72" s="37"/>
      <c r="Q72" s="37"/>
      <c r="R72" s="37"/>
    </row>
    <row r="73">
      <c r="A73" s="43" t="s">
        <v>76</v>
      </c>
      <c r="B73" s="43" t="s">
        <v>77</v>
      </c>
      <c r="C73" s="43" t="s">
        <v>79</v>
      </c>
      <c r="D73" s="19">
        <v>173.0</v>
      </c>
      <c r="E73" s="19">
        <f t="shared" si="48"/>
        <v>181.65</v>
      </c>
      <c r="F73" s="19">
        <f>E73+(0.08*E73)</f>
        <v>196.182</v>
      </c>
      <c r="G73" s="19">
        <f t="shared" si="50"/>
        <v>223.64748</v>
      </c>
      <c r="H73" s="19">
        <f t="shared" si="51"/>
        <v>232.5933792</v>
      </c>
      <c r="I73" s="19">
        <f t="shared" si="52"/>
        <v>239.5711806</v>
      </c>
      <c r="J73" s="44">
        <f t="shared" si="5"/>
        <v>1246.64404</v>
      </c>
      <c r="K73" s="27">
        <f t="shared" si="20"/>
        <v>0.008540680043</v>
      </c>
      <c r="L73" s="37"/>
      <c r="M73" s="37"/>
      <c r="N73" s="37"/>
      <c r="O73" s="37"/>
      <c r="P73" s="37"/>
      <c r="Q73" s="37"/>
      <c r="R73" s="37"/>
    </row>
    <row r="74">
      <c r="A74" s="43" t="s">
        <v>76</v>
      </c>
      <c r="B74" s="43" t="s">
        <v>77</v>
      </c>
      <c r="C74" s="45" t="s">
        <v>172</v>
      </c>
      <c r="D74" s="31">
        <v>0.0</v>
      </c>
      <c r="E74" s="31">
        <f>D74-(0.02*D74)</f>
        <v>0</v>
      </c>
      <c r="F74" s="31">
        <f>E74-(0.03*E74)</f>
        <v>0</v>
      </c>
      <c r="G74" s="31">
        <f>F74-(0.02*F74)</f>
        <v>0</v>
      </c>
      <c r="H74" s="31">
        <v>18.0</v>
      </c>
      <c r="I74" s="31">
        <v>23.0</v>
      </c>
      <c r="J74" s="44">
        <f t="shared" si="5"/>
        <v>41</v>
      </c>
      <c r="K74" s="27">
        <f t="shared" si="20"/>
        <v>0.0002808884257</v>
      </c>
      <c r="L74" s="37"/>
      <c r="M74" s="37"/>
      <c r="N74" s="37"/>
      <c r="O74" s="37"/>
      <c r="P74" s="37"/>
      <c r="Q74" s="37"/>
      <c r="R74" s="37"/>
    </row>
    <row r="75">
      <c r="A75" s="43" t="s">
        <v>76</v>
      </c>
      <c r="B75" s="43" t="s">
        <v>77</v>
      </c>
      <c r="C75" s="43" t="s">
        <v>84</v>
      </c>
      <c r="D75" s="19">
        <v>129.0</v>
      </c>
      <c r="E75" s="19">
        <f>D75+(0.05*D75)</f>
        <v>135.45</v>
      </c>
      <c r="F75" s="19">
        <f>E75+(0.08*E75)</f>
        <v>146.286</v>
      </c>
      <c r="G75" s="19">
        <f>F75+(0.14*F75)</f>
        <v>166.76604</v>
      </c>
      <c r="H75" s="19">
        <f>G75+(0.04*G75)</f>
        <v>173.4366816</v>
      </c>
      <c r="I75" s="19">
        <f t="shared" ref="I75:I82" si="53">H75+(0.03*H75)</f>
        <v>178.639782</v>
      </c>
      <c r="J75" s="44">
        <f t="shared" si="5"/>
        <v>929.5785036</v>
      </c>
      <c r="K75" s="27">
        <f t="shared" si="20"/>
        <v>0.006368483963</v>
      </c>
      <c r="L75" s="37"/>
      <c r="M75" s="37"/>
      <c r="N75" s="37"/>
      <c r="O75" s="37"/>
      <c r="P75" s="37"/>
      <c r="Q75" s="37"/>
      <c r="R75" s="37"/>
    </row>
    <row r="76">
      <c r="A76" s="43" t="s">
        <v>76</v>
      </c>
      <c r="B76" s="43" t="s">
        <v>77</v>
      </c>
      <c r="C76" s="45" t="s">
        <v>173</v>
      </c>
      <c r="D76" s="31">
        <v>0.0</v>
      </c>
      <c r="E76" s="31">
        <f>D76-(0.02*D76)</f>
        <v>0</v>
      </c>
      <c r="F76" s="31">
        <f>E76-(0.03*E76)</f>
        <v>0</v>
      </c>
      <c r="G76" s="31">
        <f>F76-(0.02*F76)</f>
        <v>0</v>
      </c>
      <c r="H76" s="31">
        <f>G76-(0.01*G76)</f>
        <v>0</v>
      </c>
      <c r="I76" s="31">
        <f t="shared" si="53"/>
        <v>0</v>
      </c>
      <c r="J76" s="44">
        <f t="shared" si="5"/>
        <v>0</v>
      </c>
      <c r="K76" s="27">
        <f t="shared" si="20"/>
        <v>0</v>
      </c>
      <c r="L76" s="37"/>
      <c r="M76" s="37"/>
      <c r="N76" s="37"/>
      <c r="O76" s="37"/>
      <c r="P76" s="37"/>
      <c r="Q76" s="37"/>
      <c r="R76" s="37"/>
    </row>
    <row r="77">
      <c r="A77" s="43" t="s">
        <v>76</v>
      </c>
      <c r="B77" s="43" t="s">
        <v>77</v>
      </c>
      <c r="C77" s="43" t="s">
        <v>83</v>
      </c>
      <c r="D77" s="19">
        <v>109.0</v>
      </c>
      <c r="E77" s="19">
        <f t="shared" ref="E77:E80" si="54">D77+(0.05*D77)</f>
        <v>114.45</v>
      </c>
      <c r="F77" s="19">
        <f t="shared" ref="F77:F80" si="55">E77+(0.08*E77)</f>
        <v>123.606</v>
      </c>
      <c r="G77" s="19">
        <f t="shared" ref="G77:G80" si="56">F77+(0.14*F77)</f>
        <v>140.91084</v>
      </c>
      <c r="H77" s="19">
        <f t="shared" ref="H77:H80" si="57">G77+(0.04*G77)</f>
        <v>146.5472736</v>
      </c>
      <c r="I77" s="19">
        <f t="shared" si="53"/>
        <v>150.9436918</v>
      </c>
      <c r="J77" s="44">
        <f t="shared" si="5"/>
        <v>785.4578054</v>
      </c>
      <c r="K77" s="27">
        <f t="shared" si="20"/>
        <v>0.005381122108</v>
      </c>
      <c r="L77" s="37"/>
      <c r="M77" s="37"/>
      <c r="N77" s="37"/>
      <c r="O77" s="37"/>
      <c r="P77" s="37"/>
      <c r="Q77" s="37"/>
      <c r="R77" s="37"/>
    </row>
    <row r="78">
      <c r="A78" s="43" t="s">
        <v>76</v>
      </c>
      <c r="B78" s="43" t="s">
        <v>77</v>
      </c>
      <c r="C78" s="43" t="s">
        <v>86</v>
      </c>
      <c r="D78" s="19">
        <v>96.0</v>
      </c>
      <c r="E78" s="19">
        <f t="shared" si="54"/>
        <v>100.8</v>
      </c>
      <c r="F78" s="19">
        <f t="shared" si="55"/>
        <v>108.864</v>
      </c>
      <c r="G78" s="19">
        <f t="shared" si="56"/>
        <v>124.10496</v>
      </c>
      <c r="H78" s="19">
        <f t="shared" si="57"/>
        <v>129.0691584</v>
      </c>
      <c r="I78" s="19">
        <f t="shared" si="53"/>
        <v>132.9412332</v>
      </c>
      <c r="J78" s="44">
        <f t="shared" si="5"/>
        <v>691.7793516</v>
      </c>
      <c r="K78" s="27">
        <f t="shared" si="20"/>
        <v>0.004739336903</v>
      </c>
      <c r="L78" s="37"/>
      <c r="M78" s="37"/>
      <c r="N78" s="37"/>
      <c r="O78" s="37"/>
      <c r="P78" s="37"/>
      <c r="Q78" s="37"/>
      <c r="R78" s="37"/>
    </row>
    <row r="79">
      <c r="A79" s="43" t="s">
        <v>76</v>
      </c>
      <c r="B79" s="43" t="s">
        <v>77</v>
      </c>
      <c r="C79" s="43" t="s">
        <v>78</v>
      </c>
      <c r="D79" s="19">
        <v>191.0</v>
      </c>
      <c r="E79" s="19">
        <f t="shared" si="54"/>
        <v>200.55</v>
      </c>
      <c r="F79" s="19">
        <f t="shared" si="55"/>
        <v>216.594</v>
      </c>
      <c r="G79" s="19">
        <f t="shared" si="56"/>
        <v>246.91716</v>
      </c>
      <c r="H79" s="19">
        <f t="shared" si="57"/>
        <v>256.7938464</v>
      </c>
      <c r="I79" s="19">
        <f t="shared" si="53"/>
        <v>264.4976618</v>
      </c>
      <c r="J79" s="44">
        <f t="shared" si="5"/>
        <v>1376.352668</v>
      </c>
      <c r="K79" s="27">
        <f t="shared" si="20"/>
        <v>0.009429305712</v>
      </c>
      <c r="L79" s="37"/>
      <c r="M79" s="37"/>
      <c r="N79" s="37"/>
      <c r="O79" s="37"/>
      <c r="P79" s="37"/>
      <c r="Q79" s="37"/>
      <c r="R79" s="37"/>
    </row>
    <row r="80">
      <c r="A80" s="43" t="s">
        <v>76</v>
      </c>
      <c r="B80" s="43" t="s">
        <v>77</v>
      </c>
      <c r="C80" s="43" t="s">
        <v>85</v>
      </c>
      <c r="D80" s="19">
        <v>80.0</v>
      </c>
      <c r="E80" s="19">
        <f t="shared" si="54"/>
        <v>84</v>
      </c>
      <c r="F80" s="19">
        <f t="shared" si="55"/>
        <v>90.72</v>
      </c>
      <c r="G80" s="19">
        <f t="shared" si="56"/>
        <v>103.4208</v>
      </c>
      <c r="H80" s="19">
        <f t="shared" si="57"/>
        <v>107.557632</v>
      </c>
      <c r="I80" s="19">
        <f t="shared" si="53"/>
        <v>110.784361</v>
      </c>
      <c r="J80" s="44">
        <f t="shared" si="5"/>
        <v>576.482793</v>
      </c>
      <c r="K80" s="27">
        <f t="shared" si="20"/>
        <v>0.003949447419</v>
      </c>
      <c r="L80" s="37"/>
      <c r="M80" s="37"/>
      <c r="N80" s="37"/>
      <c r="O80" s="37"/>
      <c r="P80" s="37"/>
      <c r="Q80" s="37"/>
      <c r="R80" s="37"/>
    </row>
    <row r="81">
      <c r="A81" s="43" t="s">
        <v>76</v>
      </c>
      <c r="B81" s="43" t="s">
        <v>77</v>
      </c>
      <c r="C81" s="45" t="s">
        <v>174</v>
      </c>
      <c r="D81" s="31">
        <v>0.0</v>
      </c>
      <c r="E81" s="31">
        <f>D81-(0.02*D81)</f>
        <v>0</v>
      </c>
      <c r="F81" s="31">
        <f>E81-(0.03*E81)</f>
        <v>0</v>
      </c>
      <c r="G81" s="31">
        <f>F81-(0.02*F81)</f>
        <v>0</v>
      </c>
      <c r="H81" s="31">
        <f>G81-(0.01*G81)</f>
        <v>0</v>
      </c>
      <c r="I81" s="31">
        <f t="shared" si="53"/>
        <v>0</v>
      </c>
      <c r="J81" s="44">
        <f t="shared" si="5"/>
        <v>0</v>
      </c>
      <c r="K81" s="27">
        <f t="shared" si="20"/>
        <v>0</v>
      </c>
      <c r="L81" s="37"/>
      <c r="M81" s="37"/>
      <c r="N81" s="37"/>
      <c r="O81" s="37"/>
      <c r="P81" s="37"/>
      <c r="Q81" s="37"/>
      <c r="R81" s="37"/>
    </row>
    <row r="82">
      <c r="A82" s="43" t="s">
        <v>76</v>
      </c>
      <c r="B82" s="43" t="s">
        <v>77</v>
      </c>
      <c r="C82" s="43" t="s">
        <v>81</v>
      </c>
      <c r="D82" s="19">
        <v>134.0</v>
      </c>
      <c r="E82" s="19">
        <f>D82+(0.05*D82)</f>
        <v>140.7</v>
      </c>
      <c r="F82" s="19">
        <f>E82+(0.08*E82)</f>
        <v>151.956</v>
      </c>
      <c r="G82" s="19">
        <f>F82+(0.14*F82)</f>
        <v>173.22984</v>
      </c>
      <c r="H82" s="19">
        <f>G82+(0.04*G82)</f>
        <v>180.1590336</v>
      </c>
      <c r="I82" s="19">
        <f t="shared" si="53"/>
        <v>185.5638046</v>
      </c>
      <c r="J82" s="44">
        <f t="shared" si="5"/>
        <v>965.6086782</v>
      </c>
      <c r="K82" s="27">
        <f t="shared" si="20"/>
        <v>0.006615324427</v>
      </c>
      <c r="L82" s="37"/>
      <c r="M82" s="37"/>
      <c r="N82" s="37"/>
      <c r="O82" s="37"/>
      <c r="P82" s="37"/>
      <c r="Q82" s="37"/>
      <c r="R82" s="37"/>
    </row>
    <row r="83">
      <c r="A83" s="43" t="s">
        <v>76</v>
      </c>
      <c r="B83" s="43" t="s">
        <v>77</v>
      </c>
      <c r="C83" s="45" t="s">
        <v>89</v>
      </c>
      <c r="D83" s="31">
        <v>0.0</v>
      </c>
      <c r="E83" s="31">
        <f>D83-(0.02*D83)</f>
        <v>0</v>
      </c>
      <c r="F83" s="31">
        <f>E83-(0.03*E83)</f>
        <v>0</v>
      </c>
      <c r="G83" s="31">
        <v>12.0</v>
      </c>
      <c r="H83" s="31">
        <v>20.0</v>
      </c>
      <c r="I83" s="31">
        <v>27.0</v>
      </c>
      <c r="J83" s="44">
        <f t="shared" si="5"/>
        <v>59</v>
      </c>
      <c r="K83" s="27">
        <f t="shared" si="20"/>
        <v>0.0004042052956</v>
      </c>
      <c r="L83" s="37"/>
      <c r="M83" s="37"/>
      <c r="N83" s="37"/>
      <c r="O83" s="37"/>
      <c r="P83" s="37"/>
      <c r="Q83" s="37"/>
      <c r="R83" s="37"/>
    </row>
    <row r="84">
      <c r="A84" s="43" t="s">
        <v>76</v>
      </c>
      <c r="B84" s="43" t="s">
        <v>77</v>
      </c>
      <c r="C84" s="43" t="s">
        <v>87</v>
      </c>
      <c r="D84" s="19">
        <v>70.0</v>
      </c>
      <c r="E84" s="19">
        <f t="shared" ref="E84:E85" si="58">D84+(0.05*D84)</f>
        <v>73.5</v>
      </c>
      <c r="F84" s="19">
        <f t="shared" ref="F84:F85" si="59">E84+(0.08*E84)</f>
        <v>79.38</v>
      </c>
      <c r="G84" s="19">
        <f t="shared" ref="G84:G85" si="60">F84+(0.14*F84)</f>
        <v>90.4932</v>
      </c>
      <c r="H84" s="19">
        <f t="shared" ref="H84:H85" si="61">G84+(0.04*G84)</f>
        <v>94.112928</v>
      </c>
      <c r="I84" s="19">
        <f t="shared" ref="I84:I85" si="62">H84+(0.03*H84)</f>
        <v>96.93631584</v>
      </c>
      <c r="J84" s="44">
        <f t="shared" si="5"/>
        <v>504.4224438</v>
      </c>
      <c r="K84" s="27">
        <f t="shared" si="20"/>
        <v>0.003455766491</v>
      </c>
      <c r="L84" s="37"/>
      <c r="M84" s="37"/>
      <c r="N84" s="37"/>
      <c r="O84" s="37"/>
      <c r="P84" s="37"/>
      <c r="Q84" s="37"/>
      <c r="R84" s="37"/>
    </row>
    <row r="85">
      <c r="A85" s="43" t="s">
        <v>76</v>
      </c>
      <c r="B85" s="43" t="s">
        <v>77</v>
      </c>
      <c r="C85" s="43" t="s">
        <v>82</v>
      </c>
      <c r="D85" s="19">
        <v>234.0</v>
      </c>
      <c r="E85" s="19">
        <f t="shared" si="58"/>
        <v>245.7</v>
      </c>
      <c r="F85" s="19">
        <f t="shared" si="59"/>
        <v>265.356</v>
      </c>
      <c r="G85" s="19">
        <f t="shared" si="60"/>
        <v>302.50584</v>
      </c>
      <c r="H85" s="19">
        <f t="shared" si="61"/>
        <v>314.6060736</v>
      </c>
      <c r="I85" s="19">
        <f t="shared" si="62"/>
        <v>324.0442558</v>
      </c>
      <c r="J85" s="44">
        <f t="shared" si="5"/>
        <v>1686.212169</v>
      </c>
      <c r="K85" s="27">
        <f t="shared" si="20"/>
        <v>0.0115521337</v>
      </c>
      <c r="L85" s="37"/>
      <c r="M85" s="37"/>
      <c r="N85" s="37"/>
      <c r="O85" s="37"/>
      <c r="P85" s="37"/>
      <c r="Q85" s="37"/>
      <c r="R85" s="37"/>
    </row>
    <row r="86">
      <c r="A86" s="43" t="s">
        <v>76</v>
      </c>
      <c r="B86" s="43" t="s">
        <v>77</v>
      </c>
      <c r="C86" s="45" t="s">
        <v>175</v>
      </c>
      <c r="D86" s="31">
        <v>0.0</v>
      </c>
      <c r="E86" s="31">
        <f>D86-(0.02*D86)</f>
        <v>0</v>
      </c>
      <c r="F86" s="31">
        <f>E86-(0.03*E86)</f>
        <v>0</v>
      </c>
      <c r="G86" s="31">
        <f>F86-(0.02*F86)</f>
        <v>0</v>
      </c>
      <c r="H86" s="31">
        <f>G86-(0.01*G86)</f>
        <v>0</v>
      </c>
      <c r="I86" s="31">
        <v>12.0</v>
      </c>
      <c r="J86" s="44">
        <f t="shared" si="5"/>
        <v>12</v>
      </c>
      <c r="K86" s="27">
        <f t="shared" si="20"/>
        <v>0.00008221124655</v>
      </c>
      <c r="L86" s="37"/>
      <c r="M86" s="37"/>
      <c r="N86" s="37"/>
      <c r="O86" s="37"/>
      <c r="P86" s="37"/>
      <c r="Q86" s="37"/>
      <c r="R86" s="37"/>
    </row>
    <row r="87">
      <c r="A87" s="43" t="s">
        <v>76</v>
      </c>
      <c r="B87" s="43" t="s">
        <v>77</v>
      </c>
      <c r="C87" s="43" t="s">
        <v>88</v>
      </c>
      <c r="D87" s="19">
        <v>57.0</v>
      </c>
      <c r="E87" s="19">
        <f t="shared" ref="E87:E89" si="63">D87+(0.05*D87)</f>
        <v>59.85</v>
      </c>
      <c r="F87" s="19">
        <f>E87+(0.08*E87)</f>
        <v>64.638</v>
      </c>
      <c r="G87" s="19">
        <f t="shared" ref="G87:G89" si="64">F87+(0.14*F87)</f>
        <v>73.68732</v>
      </c>
      <c r="H87" s="19">
        <f t="shared" ref="H87:H89" si="65">G87+(0.04*G87)</f>
        <v>76.6348128</v>
      </c>
      <c r="I87" s="19">
        <f>H87+(0.03*H87)</f>
        <v>78.93385718</v>
      </c>
      <c r="J87" s="44">
        <f t="shared" si="5"/>
        <v>410.74399</v>
      </c>
      <c r="K87" s="27">
        <f t="shared" si="20"/>
        <v>0.002813981286</v>
      </c>
      <c r="L87" s="37"/>
      <c r="M87" s="37"/>
      <c r="N87" s="37"/>
      <c r="O87" s="37"/>
      <c r="P87" s="37"/>
      <c r="Q87" s="37"/>
      <c r="R87" s="37"/>
    </row>
    <row r="88">
      <c r="A88" s="43" t="s">
        <v>76</v>
      </c>
      <c r="B88" s="43" t="s">
        <v>90</v>
      </c>
      <c r="C88" s="43" t="s">
        <v>91</v>
      </c>
      <c r="D88" s="19">
        <v>261.0</v>
      </c>
      <c r="E88" s="19">
        <f t="shared" si="63"/>
        <v>274.05</v>
      </c>
      <c r="F88" s="19">
        <v>280.0</v>
      </c>
      <c r="G88" s="19">
        <f t="shared" si="64"/>
        <v>319.2</v>
      </c>
      <c r="H88" s="19">
        <f t="shared" si="65"/>
        <v>331.968</v>
      </c>
      <c r="I88" s="19">
        <v>338.0</v>
      </c>
      <c r="J88" s="44">
        <f t="shared" si="5"/>
        <v>1804.218</v>
      </c>
      <c r="K88" s="27">
        <f t="shared" si="20"/>
        <v>0.01236058424</v>
      </c>
      <c r="L88" s="37"/>
      <c r="M88" s="37"/>
      <c r="N88" s="37"/>
      <c r="O88" s="37"/>
      <c r="P88" s="37"/>
      <c r="Q88" s="37"/>
      <c r="R88" s="37"/>
    </row>
    <row r="89">
      <c r="A89" s="43" t="s">
        <v>76</v>
      </c>
      <c r="B89" s="43" t="s">
        <v>90</v>
      </c>
      <c r="C89" s="43" t="s">
        <v>95</v>
      </c>
      <c r="D89" s="19">
        <v>217.0</v>
      </c>
      <c r="E89" s="19">
        <f t="shared" si="63"/>
        <v>227.85</v>
      </c>
      <c r="F89" s="19">
        <f>E89+(0.08*E89)</f>
        <v>246.078</v>
      </c>
      <c r="G89" s="19">
        <f t="shared" si="64"/>
        <v>280.52892</v>
      </c>
      <c r="H89" s="19">
        <f t="shared" si="65"/>
        <v>291.7500768</v>
      </c>
      <c r="I89" s="19">
        <f t="shared" ref="I89:I105" si="66">H89+(0.03*H89)</f>
        <v>300.5025791</v>
      </c>
      <c r="J89" s="44">
        <f t="shared" si="5"/>
        <v>1563.709576</v>
      </c>
      <c r="K89" s="27">
        <f t="shared" si="20"/>
        <v>0.01071287612</v>
      </c>
      <c r="L89" s="37"/>
      <c r="M89" s="37"/>
      <c r="N89" s="37"/>
      <c r="O89" s="37"/>
      <c r="P89" s="37"/>
      <c r="Q89" s="37"/>
      <c r="R89" s="37"/>
    </row>
    <row r="90">
      <c r="A90" s="43" t="s">
        <v>76</v>
      </c>
      <c r="B90" s="43" t="s">
        <v>90</v>
      </c>
      <c r="C90" s="45" t="s">
        <v>176</v>
      </c>
      <c r="D90" s="31">
        <v>0.0</v>
      </c>
      <c r="E90" s="31">
        <f>D90-(0.02*D90)</f>
        <v>0</v>
      </c>
      <c r="F90" s="31">
        <f>E90-(0.03*E90)</f>
        <v>0</v>
      </c>
      <c r="G90" s="31">
        <f>F90-(0.02*F90)</f>
        <v>0</v>
      </c>
      <c r="H90" s="31">
        <f>G90-(0.01*G90)</f>
        <v>0</v>
      </c>
      <c r="I90" s="31">
        <f t="shared" si="66"/>
        <v>0</v>
      </c>
      <c r="J90" s="44">
        <f t="shared" si="5"/>
        <v>0</v>
      </c>
      <c r="K90" s="27">
        <f t="shared" si="20"/>
        <v>0</v>
      </c>
      <c r="L90" s="37"/>
      <c r="M90" s="37"/>
      <c r="N90" s="37"/>
      <c r="O90" s="37"/>
      <c r="P90" s="37"/>
      <c r="Q90" s="37"/>
      <c r="R90" s="37"/>
    </row>
    <row r="91">
      <c r="A91" s="43" t="s">
        <v>76</v>
      </c>
      <c r="B91" s="43" t="s">
        <v>90</v>
      </c>
      <c r="C91" s="43" t="s">
        <v>98</v>
      </c>
      <c r="D91" s="19">
        <v>141.0</v>
      </c>
      <c r="E91" s="19">
        <f>D91+(0.05*D91)</f>
        <v>148.05</v>
      </c>
      <c r="F91" s="19">
        <f>E91+(0.08*E91)</f>
        <v>159.894</v>
      </c>
      <c r="G91" s="19">
        <f>F91+(0.14*F91)</f>
        <v>182.27916</v>
      </c>
      <c r="H91" s="19">
        <f>G91+(0.04*G91)</f>
        <v>189.5703264</v>
      </c>
      <c r="I91" s="19">
        <f t="shared" si="66"/>
        <v>195.2574362</v>
      </c>
      <c r="J91" s="44">
        <f t="shared" si="5"/>
        <v>1016.050923</v>
      </c>
      <c r="K91" s="27">
        <f t="shared" si="20"/>
        <v>0.006960901076</v>
      </c>
      <c r="L91" s="37"/>
      <c r="M91" s="37"/>
      <c r="N91" s="37"/>
      <c r="O91" s="37"/>
      <c r="P91" s="37"/>
      <c r="Q91" s="37"/>
      <c r="R91" s="37"/>
    </row>
    <row r="92">
      <c r="A92" s="43" t="s">
        <v>76</v>
      </c>
      <c r="B92" s="43" t="s">
        <v>90</v>
      </c>
      <c r="C92" s="45" t="s">
        <v>195</v>
      </c>
      <c r="D92" s="31">
        <v>0.0</v>
      </c>
      <c r="E92" s="31">
        <f t="shared" ref="E92:E93" si="67">D92-(0.02*D92)</f>
        <v>0</v>
      </c>
      <c r="F92" s="31">
        <f t="shared" ref="F92:F93" si="68">E92-(0.03*E92)</f>
        <v>0</v>
      </c>
      <c r="G92" s="31">
        <f t="shared" ref="G92:G93" si="69">F92-(0.02*F92)</f>
        <v>0</v>
      </c>
      <c r="H92" s="31">
        <f t="shared" ref="H92:H93" si="70">G92-(0.01*G92)</f>
        <v>0</v>
      </c>
      <c r="I92" s="31">
        <f t="shared" si="66"/>
        <v>0</v>
      </c>
      <c r="J92" s="44">
        <f t="shared" si="5"/>
        <v>0</v>
      </c>
      <c r="K92" s="27">
        <f t="shared" si="20"/>
        <v>0</v>
      </c>
      <c r="L92" s="37"/>
      <c r="M92" s="37"/>
      <c r="N92" s="37"/>
      <c r="O92" s="37"/>
      <c r="P92" s="37"/>
      <c r="Q92" s="37"/>
      <c r="R92" s="37"/>
    </row>
    <row r="93">
      <c r="A93" s="43" t="s">
        <v>76</v>
      </c>
      <c r="B93" s="43" t="s">
        <v>90</v>
      </c>
      <c r="C93" s="45" t="s">
        <v>177</v>
      </c>
      <c r="D93" s="31">
        <v>0.0</v>
      </c>
      <c r="E93" s="31">
        <f t="shared" si="67"/>
        <v>0</v>
      </c>
      <c r="F93" s="31">
        <f t="shared" si="68"/>
        <v>0</v>
      </c>
      <c r="G93" s="31">
        <f t="shared" si="69"/>
        <v>0</v>
      </c>
      <c r="H93" s="31">
        <f t="shared" si="70"/>
        <v>0</v>
      </c>
      <c r="I93" s="31">
        <f t="shared" si="66"/>
        <v>0</v>
      </c>
      <c r="J93" s="44">
        <f t="shared" si="5"/>
        <v>0</v>
      </c>
      <c r="K93" s="27">
        <f t="shared" si="20"/>
        <v>0</v>
      </c>
      <c r="L93" s="37"/>
      <c r="M93" s="37"/>
      <c r="N93" s="37"/>
      <c r="O93" s="37"/>
      <c r="P93" s="37"/>
      <c r="Q93" s="37"/>
      <c r="R93" s="37"/>
    </row>
    <row r="94">
      <c r="A94" s="43" t="s">
        <v>76</v>
      </c>
      <c r="B94" s="43" t="s">
        <v>90</v>
      </c>
      <c r="C94" s="43" t="s">
        <v>97</v>
      </c>
      <c r="D94" s="19">
        <v>134.0</v>
      </c>
      <c r="E94" s="19">
        <f t="shared" ref="E94:E96" si="71">D94+(0.05*D94)</f>
        <v>140.7</v>
      </c>
      <c r="F94" s="19">
        <f t="shared" ref="F94:F96" si="72">E94+(0.08*E94)</f>
        <v>151.956</v>
      </c>
      <c r="G94" s="19">
        <f t="shared" ref="G94:G96" si="73">F94+(0.14*F94)</f>
        <v>173.22984</v>
      </c>
      <c r="H94" s="19">
        <f t="shared" ref="H94:H96" si="74">G94+(0.04*G94)</f>
        <v>180.1590336</v>
      </c>
      <c r="I94" s="19">
        <f t="shared" si="66"/>
        <v>185.5638046</v>
      </c>
      <c r="J94" s="44">
        <f t="shared" si="5"/>
        <v>965.6086782</v>
      </c>
      <c r="K94" s="27">
        <f t="shared" si="20"/>
        <v>0.006615324427</v>
      </c>
      <c r="L94" s="37"/>
      <c r="M94" s="37"/>
      <c r="N94" s="37"/>
      <c r="O94" s="37"/>
      <c r="P94" s="37"/>
      <c r="Q94" s="37"/>
      <c r="R94" s="37"/>
    </row>
    <row r="95">
      <c r="A95" s="43" t="s">
        <v>76</v>
      </c>
      <c r="B95" s="43" t="s">
        <v>90</v>
      </c>
      <c r="C95" s="43" t="s">
        <v>100</v>
      </c>
      <c r="D95" s="19">
        <v>79.0</v>
      </c>
      <c r="E95" s="19">
        <f t="shared" si="71"/>
        <v>82.95</v>
      </c>
      <c r="F95" s="19">
        <f t="shared" si="72"/>
        <v>89.586</v>
      </c>
      <c r="G95" s="19">
        <f t="shared" si="73"/>
        <v>102.12804</v>
      </c>
      <c r="H95" s="19">
        <f t="shared" si="74"/>
        <v>106.2131616</v>
      </c>
      <c r="I95" s="19">
        <f t="shared" si="66"/>
        <v>109.3995564</v>
      </c>
      <c r="J95" s="44">
        <f t="shared" si="5"/>
        <v>569.276758</v>
      </c>
      <c r="K95" s="27">
        <f t="shared" si="20"/>
        <v>0.003900079326</v>
      </c>
      <c r="L95" s="37"/>
      <c r="M95" s="37"/>
      <c r="N95" s="37"/>
      <c r="O95" s="37"/>
      <c r="P95" s="37"/>
      <c r="Q95" s="37"/>
      <c r="R95" s="37"/>
    </row>
    <row r="96">
      <c r="A96" s="43" t="s">
        <v>76</v>
      </c>
      <c r="B96" s="43" t="s">
        <v>90</v>
      </c>
      <c r="C96" s="43" t="s">
        <v>96</v>
      </c>
      <c r="D96" s="19">
        <v>168.0</v>
      </c>
      <c r="E96" s="19">
        <f t="shared" si="71"/>
        <v>176.4</v>
      </c>
      <c r="F96" s="19">
        <f t="shared" si="72"/>
        <v>190.512</v>
      </c>
      <c r="G96" s="19">
        <f t="shared" si="73"/>
        <v>217.18368</v>
      </c>
      <c r="H96" s="19">
        <f t="shared" si="74"/>
        <v>225.8710272</v>
      </c>
      <c r="I96" s="19">
        <f t="shared" si="66"/>
        <v>232.647158</v>
      </c>
      <c r="J96" s="44">
        <f t="shared" si="5"/>
        <v>1210.613865</v>
      </c>
      <c r="K96" s="27">
        <f t="shared" si="20"/>
        <v>0.00829383958</v>
      </c>
      <c r="L96" s="37"/>
      <c r="M96" s="37"/>
      <c r="N96" s="37"/>
      <c r="O96" s="37"/>
      <c r="P96" s="37"/>
      <c r="Q96" s="37"/>
      <c r="R96" s="37"/>
    </row>
    <row r="97">
      <c r="A97" s="43" t="s">
        <v>76</v>
      </c>
      <c r="B97" s="43" t="s">
        <v>90</v>
      </c>
      <c r="C97" s="45" t="s">
        <v>178</v>
      </c>
      <c r="D97" s="31">
        <v>0.0</v>
      </c>
      <c r="E97" s="31">
        <f>D97-(0.02*D97)</f>
        <v>0</v>
      </c>
      <c r="F97" s="31">
        <f>E97-(0.03*E97)</f>
        <v>0</v>
      </c>
      <c r="G97" s="31">
        <f>F97-(0.02*F97)</f>
        <v>0</v>
      </c>
      <c r="H97" s="31">
        <f>G97-(0.01*G97)</f>
        <v>0</v>
      </c>
      <c r="I97" s="31">
        <f t="shared" si="66"/>
        <v>0</v>
      </c>
      <c r="J97" s="44">
        <f t="shared" si="5"/>
        <v>0</v>
      </c>
      <c r="K97" s="27">
        <f t="shared" si="20"/>
        <v>0</v>
      </c>
      <c r="L97" s="37"/>
      <c r="M97" s="37"/>
      <c r="N97" s="37"/>
      <c r="O97" s="37"/>
      <c r="P97" s="37"/>
      <c r="Q97" s="37"/>
      <c r="R97" s="37"/>
    </row>
    <row r="98">
      <c r="A98" s="43" t="s">
        <v>76</v>
      </c>
      <c r="B98" s="43" t="s">
        <v>90</v>
      </c>
      <c r="C98" s="43" t="s">
        <v>94</v>
      </c>
      <c r="D98" s="19">
        <v>166.0</v>
      </c>
      <c r="E98" s="19">
        <f t="shared" ref="E98:E101" si="75">D98+(0.05*D98)</f>
        <v>174.3</v>
      </c>
      <c r="F98" s="19">
        <f t="shared" ref="F98:F101" si="76">E98+(0.08*E98)</f>
        <v>188.244</v>
      </c>
      <c r="G98" s="19">
        <f t="shared" ref="G98:G100" si="77">F98+(0.14*F98)</f>
        <v>214.59816</v>
      </c>
      <c r="H98" s="19">
        <v>220.0</v>
      </c>
      <c r="I98" s="19">
        <f t="shared" si="66"/>
        <v>226.6</v>
      </c>
      <c r="J98" s="44">
        <f t="shared" si="5"/>
        <v>1189.74216</v>
      </c>
      <c r="K98" s="27">
        <f t="shared" si="20"/>
        <v>0.008150848838</v>
      </c>
      <c r="L98" s="37"/>
      <c r="M98" s="37"/>
      <c r="N98" s="37"/>
      <c r="O98" s="37"/>
      <c r="P98" s="37"/>
      <c r="Q98" s="37"/>
      <c r="R98" s="37"/>
    </row>
    <row r="99">
      <c r="A99" s="43" t="s">
        <v>76</v>
      </c>
      <c r="B99" s="43" t="s">
        <v>90</v>
      </c>
      <c r="C99" s="43" t="s">
        <v>99</v>
      </c>
      <c r="D99" s="19">
        <v>148.0</v>
      </c>
      <c r="E99" s="19">
        <f t="shared" si="75"/>
        <v>155.4</v>
      </c>
      <c r="F99" s="19">
        <f t="shared" si="76"/>
        <v>167.832</v>
      </c>
      <c r="G99" s="19">
        <f t="shared" si="77"/>
        <v>191.32848</v>
      </c>
      <c r="H99" s="19">
        <f t="shared" ref="H99:H100" si="78">G99+(0.04*G99)</f>
        <v>198.9816192</v>
      </c>
      <c r="I99" s="19">
        <f t="shared" si="66"/>
        <v>204.9510678</v>
      </c>
      <c r="J99" s="44">
        <f t="shared" si="5"/>
        <v>1066.493167</v>
      </c>
      <c r="K99" s="27">
        <f t="shared" si="20"/>
        <v>0.007306477725</v>
      </c>
      <c r="L99" s="37"/>
      <c r="M99" s="37"/>
      <c r="N99" s="37"/>
      <c r="O99" s="37"/>
      <c r="P99" s="37"/>
      <c r="Q99" s="37"/>
      <c r="R99" s="37"/>
    </row>
    <row r="100">
      <c r="A100" s="43" t="s">
        <v>76</v>
      </c>
      <c r="B100" s="43" t="s">
        <v>90</v>
      </c>
      <c r="C100" s="43" t="s">
        <v>93</v>
      </c>
      <c r="D100" s="19">
        <v>172.0</v>
      </c>
      <c r="E100" s="19">
        <f t="shared" si="75"/>
        <v>180.6</v>
      </c>
      <c r="F100" s="19">
        <f t="shared" si="76"/>
        <v>195.048</v>
      </c>
      <c r="G100" s="19">
        <f t="shared" si="77"/>
        <v>222.35472</v>
      </c>
      <c r="H100" s="19">
        <f t="shared" si="78"/>
        <v>231.2489088</v>
      </c>
      <c r="I100" s="19">
        <f t="shared" si="66"/>
        <v>238.1863761</v>
      </c>
      <c r="J100" s="44">
        <f t="shared" si="5"/>
        <v>1239.438005</v>
      </c>
      <c r="K100" s="27">
        <f t="shared" si="20"/>
        <v>0.00849131195</v>
      </c>
      <c r="L100" s="37"/>
      <c r="M100" s="37"/>
      <c r="N100" s="37"/>
      <c r="O100" s="37"/>
      <c r="P100" s="37"/>
      <c r="Q100" s="37"/>
      <c r="R100" s="37"/>
    </row>
    <row r="101">
      <c r="A101" s="43" t="s">
        <v>102</v>
      </c>
      <c r="B101" s="43" t="s">
        <v>103</v>
      </c>
      <c r="C101" s="43" t="s">
        <v>104</v>
      </c>
      <c r="D101" s="19">
        <v>224.0</v>
      </c>
      <c r="E101" s="19">
        <f t="shared" si="75"/>
        <v>235.2</v>
      </c>
      <c r="F101" s="19">
        <f t="shared" si="76"/>
        <v>254.016</v>
      </c>
      <c r="G101" s="19">
        <v>270.0</v>
      </c>
      <c r="H101" s="19">
        <v>279.0</v>
      </c>
      <c r="I101" s="19">
        <f t="shared" si="66"/>
        <v>287.37</v>
      </c>
      <c r="J101" s="44">
        <f t="shared" si="5"/>
        <v>1549.586</v>
      </c>
      <c r="K101" s="27">
        <f t="shared" si="20"/>
        <v>0.01061611639</v>
      </c>
      <c r="L101" s="37"/>
      <c r="M101" s="37"/>
      <c r="N101" s="37"/>
      <c r="O101" s="37"/>
      <c r="P101" s="37"/>
      <c r="Q101" s="37"/>
      <c r="R101" s="37"/>
    </row>
    <row r="102">
      <c r="A102" s="43" t="s">
        <v>102</v>
      </c>
      <c r="B102" s="43" t="s">
        <v>103</v>
      </c>
      <c r="C102" s="45" t="s">
        <v>179</v>
      </c>
      <c r="D102" s="31">
        <v>0.0</v>
      </c>
      <c r="E102" s="31">
        <f>D102-(0.02*D102)</f>
        <v>0</v>
      </c>
      <c r="F102" s="31">
        <f>E102-(0.03*E102)</f>
        <v>0</v>
      </c>
      <c r="G102" s="31">
        <f>F102-(0.02*F102)</f>
        <v>0</v>
      </c>
      <c r="H102" s="31">
        <f>G102-(0.01*G102)</f>
        <v>0</v>
      </c>
      <c r="I102" s="31">
        <f t="shared" si="66"/>
        <v>0</v>
      </c>
      <c r="J102" s="44">
        <f t="shared" si="5"/>
        <v>0</v>
      </c>
      <c r="K102" s="27">
        <f t="shared" si="20"/>
        <v>0</v>
      </c>
      <c r="L102" s="37"/>
      <c r="M102" s="37"/>
      <c r="N102" s="37"/>
      <c r="O102" s="37"/>
      <c r="P102" s="37"/>
      <c r="Q102" s="37"/>
      <c r="R102" s="37"/>
    </row>
    <row r="103">
      <c r="A103" s="43" t="s">
        <v>102</v>
      </c>
      <c r="B103" s="43" t="s">
        <v>103</v>
      </c>
      <c r="C103" s="43" t="s">
        <v>108</v>
      </c>
      <c r="D103" s="19">
        <v>227.0</v>
      </c>
      <c r="E103" s="19">
        <f>D103+(0.05*D103)</f>
        <v>238.35</v>
      </c>
      <c r="F103" s="19">
        <v>245.0</v>
      </c>
      <c r="G103" s="19">
        <f>F103+(0.14*F103)</f>
        <v>279.3</v>
      </c>
      <c r="H103" s="19">
        <v>281.0</v>
      </c>
      <c r="I103" s="19">
        <f t="shared" si="66"/>
        <v>289.43</v>
      </c>
      <c r="J103" s="44">
        <f t="shared" si="5"/>
        <v>1560.08</v>
      </c>
      <c r="K103" s="27">
        <f t="shared" si="20"/>
        <v>0.01068801013</v>
      </c>
      <c r="L103" s="37"/>
      <c r="M103" s="37"/>
      <c r="N103" s="37"/>
      <c r="O103" s="37"/>
      <c r="P103" s="37"/>
      <c r="Q103" s="37"/>
      <c r="R103" s="37"/>
    </row>
    <row r="104">
      <c r="A104" s="43" t="s">
        <v>102</v>
      </c>
      <c r="B104" s="43" t="s">
        <v>103</v>
      </c>
      <c r="C104" s="45" t="s">
        <v>180</v>
      </c>
      <c r="D104" s="31">
        <v>0.0</v>
      </c>
      <c r="E104" s="31">
        <f>D104-(0.02*D104)</f>
        <v>0</v>
      </c>
      <c r="F104" s="31">
        <f>E104-(0.03*E104)</f>
        <v>0</v>
      </c>
      <c r="G104" s="31">
        <f>F104-(0.02*F104)</f>
        <v>0</v>
      </c>
      <c r="H104" s="31">
        <f>G104-(0.01*G104)</f>
        <v>0</v>
      </c>
      <c r="I104" s="31">
        <f t="shared" si="66"/>
        <v>0</v>
      </c>
      <c r="J104" s="44">
        <f t="shared" si="5"/>
        <v>0</v>
      </c>
      <c r="K104" s="27">
        <f t="shared" si="20"/>
        <v>0</v>
      </c>
      <c r="L104" s="37"/>
      <c r="M104" s="37"/>
      <c r="N104" s="37"/>
      <c r="O104" s="37"/>
      <c r="P104" s="37"/>
      <c r="Q104" s="37"/>
      <c r="R104" s="37"/>
    </row>
    <row r="105">
      <c r="A105" s="43" t="s">
        <v>102</v>
      </c>
      <c r="B105" s="43" t="s">
        <v>103</v>
      </c>
      <c r="C105" s="43" t="s">
        <v>106</v>
      </c>
      <c r="D105" s="19">
        <v>190.0</v>
      </c>
      <c r="E105" s="19">
        <f>D105+(0.05*D105)</f>
        <v>199.5</v>
      </c>
      <c r="F105" s="19">
        <f>E105+(0.08*E105)</f>
        <v>215.46</v>
      </c>
      <c r="G105" s="19">
        <f>F105+(0.14*F105)</f>
        <v>245.6244</v>
      </c>
      <c r="H105" s="19">
        <v>251.0</v>
      </c>
      <c r="I105" s="19">
        <f t="shared" si="66"/>
        <v>258.53</v>
      </c>
      <c r="J105" s="44">
        <f t="shared" si="5"/>
        <v>1360.1144</v>
      </c>
      <c r="K105" s="27">
        <f t="shared" si="20"/>
        <v>0.009318058357</v>
      </c>
      <c r="L105" s="37"/>
      <c r="M105" s="37"/>
      <c r="N105" s="37"/>
      <c r="O105" s="37"/>
      <c r="P105" s="37"/>
      <c r="Q105" s="37"/>
      <c r="R105" s="37"/>
    </row>
    <row r="106">
      <c r="A106" s="43" t="s">
        <v>102</v>
      </c>
      <c r="B106" s="43" t="s">
        <v>103</v>
      </c>
      <c r="C106" s="45" t="s">
        <v>181</v>
      </c>
      <c r="D106" s="31">
        <v>0.0</v>
      </c>
      <c r="E106" s="31">
        <f t="shared" ref="E106:E107" si="79">D106-(0.02*D106)</f>
        <v>0</v>
      </c>
      <c r="F106" s="31">
        <f t="shared" ref="F106:F107" si="80">E106-(0.03*E106)</f>
        <v>0</v>
      </c>
      <c r="G106" s="31">
        <f t="shared" ref="G106:G107" si="81">F106-(0.02*F106)</f>
        <v>0</v>
      </c>
      <c r="H106" s="31">
        <f t="shared" ref="H106:H107" si="82">G106-(0.01*G106)</f>
        <v>0</v>
      </c>
      <c r="I106" s="31">
        <v>9.0</v>
      </c>
      <c r="J106" s="44">
        <f t="shared" si="5"/>
        <v>9</v>
      </c>
      <c r="K106" s="27">
        <f t="shared" si="20"/>
        <v>0.00006165843491</v>
      </c>
      <c r="L106" s="37"/>
      <c r="M106" s="37"/>
      <c r="N106" s="37"/>
      <c r="O106" s="37"/>
      <c r="P106" s="37"/>
      <c r="Q106" s="37"/>
      <c r="R106" s="37"/>
    </row>
    <row r="107">
      <c r="A107" s="43" t="s">
        <v>102</v>
      </c>
      <c r="B107" s="43" t="s">
        <v>103</v>
      </c>
      <c r="C107" s="45" t="s">
        <v>182</v>
      </c>
      <c r="D107" s="31">
        <v>0.0</v>
      </c>
      <c r="E107" s="31">
        <f t="shared" si="79"/>
        <v>0</v>
      </c>
      <c r="F107" s="31">
        <f t="shared" si="80"/>
        <v>0</v>
      </c>
      <c r="G107" s="31">
        <f t="shared" si="81"/>
        <v>0</v>
      </c>
      <c r="H107" s="31">
        <f t="shared" si="82"/>
        <v>0</v>
      </c>
      <c r="I107" s="31">
        <f t="shared" ref="I107:I110" si="83">H107+(0.03*H107)</f>
        <v>0</v>
      </c>
      <c r="J107" s="44">
        <f t="shared" si="5"/>
        <v>0</v>
      </c>
      <c r="K107" s="27">
        <f t="shared" si="20"/>
        <v>0</v>
      </c>
      <c r="L107" s="37"/>
      <c r="M107" s="37"/>
      <c r="N107" s="37"/>
      <c r="O107" s="37"/>
      <c r="P107" s="37"/>
      <c r="Q107" s="37"/>
      <c r="R107" s="37"/>
    </row>
    <row r="108">
      <c r="A108" s="43" t="s">
        <v>102</v>
      </c>
      <c r="B108" s="43" t="s">
        <v>103</v>
      </c>
      <c r="C108" s="43" t="s">
        <v>107</v>
      </c>
      <c r="D108" s="19">
        <v>167.0</v>
      </c>
      <c r="E108" s="19">
        <f>D108+(0.05*D108)</f>
        <v>175.35</v>
      </c>
      <c r="F108" s="19">
        <f>E108+(0.08*E108)</f>
        <v>189.378</v>
      </c>
      <c r="G108" s="19">
        <f>F108+(0.14*F108)</f>
        <v>215.89092</v>
      </c>
      <c r="H108" s="19">
        <v>220.0</v>
      </c>
      <c r="I108" s="19">
        <f t="shared" si="83"/>
        <v>226.6</v>
      </c>
      <c r="J108" s="44">
        <f t="shared" si="5"/>
        <v>1194.21892</v>
      </c>
      <c r="K108" s="27">
        <f t="shared" si="20"/>
        <v>0.008181518839</v>
      </c>
      <c r="L108" s="37"/>
      <c r="M108" s="37"/>
      <c r="N108" s="37"/>
      <c r="O108" s="37"/>
      <c r="P108" s="37"/>
      <c r="Q108" s="37"/>
      <c r="R108" s="37"/>
    </row>
    <row r="109">
      <c r="A109" s="43" t="s">
        <v>102</v>
      </c>
      <c r="B109" s="43" t="s">
        <v>103</v>
      </c>
      <c r="C109" s="45" t="s">
        <v>183</v>
      </c>
      <c r="D109" s="31">
        <v>0.0</v>
      </c>
      <c r="E109" s="31">
        <f>D109-(0.02*D109)</f>
        <v>0</v>
      </c>
      <c r="F109" s="31">
        <f>E109-(0.03*E109)</f>
        <v>0</v>
      </c>
      <c r="G109" s="31">
        <f>F109-(0.02*F109)</f>
        <v>0</v>
      </c>
      <c r="H109" s="31">
        <f>G109-(0.01*G109)</f>
        <v>0</v>
      </c>
      <c r="I109" s="31">
        <f t="shared" si="83"/>
        <v>0</v>
      </c>
      <c r="J109" s="44">
        <f t="shared" si="5"/>
        <v>0</v>
      </c>
      <c r="K109" s="27">
        <f t="shared" si="20"/>
        <v>0</v>
      </c>
      <c r="L109" s="37"/>
      <c r="M109" s="37"/>
      <c r="N109" s="37"/>
      <c r="O109" s="37"/>
      <c r="P109" s="37"/>
      <c r="Q109" s="37"/>
      <c r="R109" s="37"/>
    </row>
    <row r="110">
      <c r="A110" s="43" t="s">
        <v>102</v>
      </c>
      <c r="B110" s="43" t="s">
        <v>103</v>
      </c>
      <c r="C110" s="43" t="s">
        <v>111</v>
      </c>
      <c r="D110" s="19">
        <v>179.0</v>
      </c>
      <c r="E110" s="19">
        <f>D110+(0.05*D110)</f>
        <v>187.95</v>
      </c>
      <c r="F110" s="19">
        <f>E110+(0.08*E110)</f>
        <v>202.986</v>
      </c>
      <c r="G110" s="19">
        <f>F110+(0.14*F110)</f>
        <v>231.40404</v>
      </c>
      <c r="H110" s="19">
        <f>G110+(0.04*G110)</f>
        <v>240.6602016</v>
      </c>
      <c r="I110" s="19">
        <f t="shared" si="83"/>
        <v>247.8800076</v>
      </c>
      <c r="J110" s="44">
        <f t="shared" si="5"/>
        <v>1289.880249</v>
      </c>
      <c r="K110" s="27">
        <f t="shared" si="20"/>
        <v>0.0088368886</v>
      </c>
      <c r="L110" s="37"/>
      <c r="M110" s="37"/>
      <c r="N110" s="37"/>
      <c r="O110" s="37"/>
      <c r="P110" s="37"/>
      <c r="Q110" s="37"/>
      <c r="R110" s="37"/>
    </row>
    <row r="111">
      <c r="A111" s="43" t="s">
        <v>102</v>
      </c>
      <c r="B111" s="43" t="s">
        <v>103</v>
      </c>
      <c r="C111" s="45" t="s">
        <v>114</v>
      </c>
      <c r="D111" s="31">
        <v>0.0</v>
      </c>
      <c r="E111" s="31">
        <f>D111-(0.02*D111)</f>
        <v>0</v>
      </c>
      <c r="F111" s="31">
        <f>E111-(0.03*E111)</f>
        <v>0</v>
      </c>
      <c r="G111" s="31">
        <v>12.0</v>
      </c>
      <c r="H111" s="31">
        <v>18.0</v>
      </c>
      <c r="I111" s="31">
        <v>21.0</v>
      </c>
      <c r="J111" s="44">
        <f t="shared" si="5"/>
        <v>51</v>
      </c>
      <c r="K111" s="27">
        <f t="shared" si="20"/>
        <v>0.0003493977979</v>
      </c>
      <c r="L111" s="37"/>
      <c r="M111" s="37"/>
      <c r="N111" s="37"/>
      <c r="O111" s="37"/>
      <c r="P111" s="37"/>
      <c r="Q111" s="37"/>
      <c r="R111" s="37"/>
    </row>
    <row r="112">
      <c r="A112" s="43" t="s">
        <v>102</v>
      </c>
      <c r="B112" s="43" t="s">
        <v>103</v>
      </c>
      <c r="C112" s="43" t="s">
        <v>109</v>
      </c>
      <c r="D112" s="19">
        <v>187.0</v>
      </c>
      <c r="E112" s="19">
        <f>D112+(0.05*D112)</f>
        <v>196.35</v>
      </c>
      <c r="F112" s="19">
        <f>E112+(0.08*E112)</f>
        <v>212.058</v>
      </c>
      <c r="G112" s="19">
        <f>F112+(0.14*F112)</f>
        <v>241.74612</v>
      </c>
      <c r="H112" s="19">
        <f>G112+(0.04*G112)</f>
        <v>251.4159648</v>
      </c>
      <c r="I112" s="19">
        <f t="shared" ref="I112:I125" si="84">H112+(0.03*H112)</f>
        <v>258.9584437</v>
      </c>
      <c r="J112" s="44">
        <f t="shared" si="5"/>
        <v>1347.528529</v>
      </c>
      <c r="K112" s="27">
        <f t="shared" si="20"/>
        <v>0.009231833341</v>
      </c>
      <c r="L112" s="37"/>
      <c r="M112" s="37"/>
      <c r="N112" s="37"/>
      <c r="O112" s="37"/>
      <c r="P112" s="37"/>
      <c r="Q112" s="37"/>
      <c r="R112" s="37"/>
    </row>
    <row r="113">
      <c r="A113" s="43" t="s">
        <v>102</v>
      </c>
      <c r="B113" s="43" t="s">
        <v>103</v>
      </c>
      <c r="C113" s="45" t="s">
        <v>184</v>
      </c>
      <c r="D113" s="31">
        <v>0.0</v>
      </c>
      <c r="E113" s="31">
        <f>D113-(0.02*D113)</f>
        <v>0</v>
      </c>
      <c r="F113" s="31">
        <f>E113-(0.03*E113)</f>
        <v>0</v>
      </c>
      <c r="G113" s="31">
        <f>F113-(0.02*F113)</f>
        <v>0</v>
      </c>
      <c r="H113" s="31">
        <f>G113-(0.01*G113)</f>
        <v>0</v>
      </c>
      <c r="I113" s="31">
        <f t="shared" si="84"/>
        <v>0</v>
      </c>
      <c r="J113" s="44">
        <f t="shared" si="5"/>
        <v>0</v>
      </c>
      <c r="K113" s="27">
        <f t="shared" si="20"/>
        <v>0</v>
      </c>
      <c r="L113" s="37"/>
      <c r="M113" s="37"/>
      <c r="N113" s="37"/>
      <c r="O113" s="37"/>
      <c r="P113" s="37"/>
      <c r="Q113" s="37"/>
      <c r="R113" s="37"/>
    </row>
    <row r="114">
      <c r="A114" s="43" t="s">
        <v>102</v>
      </c>
      <c r="B114" s="43" t="s">
        <v>103</v>
      </c>
      <c r="C114" s="43" t="s">
        <v>110</v>
      </c>
      <c r="D114" s="19">
        <v>115.0</v>
      </c>
      <c r="E114" s="19">
        <f>D114+(0.05*D114)</f>
        <v>120.75</v>
      </c>
      <c r="F114" s="19">
        <f>E114+(0.08*E114)</f>
        <v>130.41</v>
      </c>
      <c r="G114" s="19">
        <f>F114+(0.14*F114)</f>
        <v>148.6674</v>
      </c>
      <c r="H114" s="19">
        <v>154.0</v>
      </c>
      <c r="I114" s="19">
        <f t="shared" si="84"/>
        <v>158.62</v>
      </c>
      <c r="J114" s="44">
        <f t="shared" si="5"/>
        <v>827.4474</v>
      </c>
      <c r="K114" s="27">
        <f t="shared" si="20"/>
        <v>0.005668790184</v>
      </c>
      <c r="L114" s="37"/>
      <c r="M114" s="37"/>
      <c r="N114" s="37"/>
      <c r="O114" s="37"/>
      <c r="P114" s="37"/>
      <c r="Q114" s="37"/>
      <c r="R114" s="37"/>
    </row>
    <row r="115">
      <c r="A115" s="43" t="s">
        <v>102</v>
      </c>
      <c r="B115" s="43" t="s">
        <v>103</v>
      </c>
      <c r="C115" s="45" t="s">
        <v>185</v>
      </c>
      <c r="D115" s="31">
        <v>0.0</v>
      </c>
      <c r="E115" s="31">
        <f>D115-(0.02*D115)</f>
        <v>0</v>
      </c>
      <c r="F115" s="31">
        <f>E115-(0.03*E115)</f>
        <v>0</v>
      </c>
      <c r="G115" s="31">
        <f>F115-(0.02*F115)</f>
        <v>0</v>
      </c>
      <c r="H115" s="31">
        <f>G115-(0.01*G115)</f>
        <v>0</v>
      </c>
      <c r="I115" s="31">
        <f t="shared" si="84"/>
        <v>0</v>
      </c>
      <c r="J115" s="44">
        <f t="shared" si="5"/>
        <v>0</v>
      </c>
      <c r="K115" s="27">
        <f t="shared" si="20"/>
        <v>0</v>
      </c>
      <c r="L115" s="37"/>
      <c r="M115" s="37"/>
      <c r="N115" s="37"/>
      <c r="O115" s="37"/>
      <c r="P115" s="37"/>
      <c r="Q115" s="37"/>
      <c r="R115" s="37"/>
    </row>
    <row r="116">
      <c r="A116" s="43" t="s">
        <v>102</v>
      </c>
      <c r="B116" s="43" t="s">
        <v>103</v>
      </c>
      <c r="C116" s="43" t="s">
        <v>113</v>
      </c>
      <c r="D116" s="19">
        <v>93.0</v>
      </c>
      <c r="E116" s="19">
        <f t="shared" ref="E116:E122" si="85">D116+(0.05*D116)</f>
        <v>97.65</v>
      </c>
      <c r="F116" s="19">
        <f t="shared" ref="F116:F117" si="86">E116+(0.08*E116)</f>
        <v>105.462</v>
      </c>
      <c r="G116" s="19">
        <f t="shared" ref="G116:G117" si="87">F116+(0.14*F116)</f>
        <v>120.22668</v>
      </c>
      <c r="H116" s="19">
        <f t="shared" ref="H116:H117" si="88">G116+(0.04*G116)</f>
        <v>125.0357472</v>
      </c>
      <c r="I116" s="19">
        <f t="shared" si="84"/>
        <v>128.7868196</v>
      </c>
      <c r="J116" s="44">
        <f t="shared" si="5"/>
        <v>670.1612468</v>
      </c>
      <c r="K116" s="27">
        <f t="shared" si="20"/>
        <v>0.004591232624</v>
      </c>
      <c r="L116" s="37"/>
      <c r="M116" s="37"/>
      <c r="N116" s="37"/>
      <c r="O116" s="37"/>
      <c r="P116" s="37"/>
      <c r="Q116" s="37"/>
      <c r="R116" s="37"/>
    </row>
    <row r="117">
      <c r="A117" s="43" t="s">
        <v>102</v>
      </c>
      <c r="B117" s="43" t="s">
        <v>103</v>
      </c>
      <c r="C117" s="43" t="s">
        <v>112</v>
      </c>
      <c r="D117" s="19">
        <v>133.0</v>
      </c>
      <c r="E117" s="19">
        <f t="shared" si="85"/>
        <v>139.65</v>
      </c>
      <c r="F117" s="19">
        <f t="shared" si="86"/>
        <v>150.822</v>
      </c>
      <c r="G117" s="19">
        <f t="shared" si="87"/>
        <v>171.93708</v>
      </c>
      <c r="H117" s="19">
        <f t="shared" si="88"/>
        <v>178.8145632</v>
      </c>
      <c r="I117" s="19">
        <f t="shared" si="84"/>
        <v>184.1790001</v>
      </c>
      <c r="J117" s="44">
        <f t="shared" si="5"/>
        <v>958.4026433</v>
      </c>
      <c r="K117" s="27">
        <f t="shared" si="20"/>
        <v>0.006565956334</v>
      </c>
      <c r="L117" s="37"/>
      <c r="M117" s="37"/>
      <c r="N117" s="37"/>
      <c r="O117" s="37"/>
      <c r="P117" s="37"/>
      <c r="Q117" s="37"/>
      <c r="R117" s="37"/>
    </row>
    <row r="118">
      <c r="A118" s="43" t="s">
        <v>102</v>
      </c>
      <c r="B118" s="43" t="s">
        <v>103</v>
      </c>
      <c r="C118" s="43" t="s">
        <v>105</v>
      </c>
      <c r="D118" s="19">
        <v>337.0</v>
      </c>
      <c r="E118" s="19">
        <f t="shared" si="85"/>
        <v>353.85</v>
      </c>
      <c r="F118" s="19">
        <v>360.0</v>
      </c>
      <c r="G118" s="19">
        <v>370.0</v>
      </c>
      <c r="H118" s="19">
        <v>379.0</v>
      </c>
      <c r="I118" s="19">
        <f t="shared" si="84"/>
        <v>390.37</v>
      </c>
      <c r="J118" s="44">
        <f t="shared" si="5"/>
        <v>2190.22</v>
      </c>
      <c r="K118" s="27">
        <f t="shared" si="20"/>
        <v>0.0150050597</v>
      </c>
      <c r="L118" s="37"/>
      <c r="M118" s="37"/>
      <c r="N118" s="37"/>
      <c r="O118" s="37"/>
      <c r="P118" s="37"/>
      <c r="Q118" s="37"/>
      <c r="R118" s="37"/>
    </row>
    <row r="119">
      <c r="A119" s="43" t="s">
        <v>102</v>
      </c>
      <c r="B119" s="43" t="s">
        <v>115</v>
      </c>
      <c r="C119" s="43" t="s">
        <v>119</v>
      </c>
      <c r="D119" s="19">
        <v>186.0</v>
      </c>
      <c r="E119" s="19">
        <f t="shared" si="85"/>
        <v>195.3</v>
      </c>
      <c r="F119" s="19">
        <f t="shared" ref="F119:F122" si="89">E119+(0.08*E119)</f>
        <v>210.924</v>
      </c>
      <c r="G119" s="19">
        <f t="shared" ref="G119:G122" si="90">F119+(0.14*F119)</f>
        <v>240.45336</v>
      </c>
      <c r="H119" s="19">
        <f t="shared" ref="H119:H122" si="91">G119+(0.04*G119)</f>
        <v>250.0714944</v>
      </c>
      <c r="I119" s="19">
        <f t="shared" si="84"/>
        <v>257.5736392</v>
      </c>
      <c r="J119" s="44">
        <f t="shared" si="5"/>
        <v>1340.322494</v>
      </c>
      <c r="K119" s="27">
        <f t="shared" si="20"/>
        <v>0.009182465249</v>
      </c>
      <c r="L119" s="37"/>
      <c r="M119" s="37"/>
      <c r="N119" s="37"/>
      <c r="O119" s="37"/>
      <c r="P119" s="37"/>
      <c r="Q119" s="37"/>
      <c r="R119" s="37"/>
    </row>
    <row r="120">
      <c r="A120" s="43" t="s">
        <v>102</v>
      </c>
      <c r="B120" s="43" t="s">
        <v>115</v>
      </c>
      <c r="C120" s="43" t="s">
        <v>123</v>
      </c>
      <c r="D120" s="19">
        <v>91.0</v>
      </c>
      <c r="E120" s="19">
        <f t="shared" si="85"/>
        <v>95.55</v>
      </c>
      <c r="F120" s="19">
        <f t="shared" si="89"/>
        <v>103.194</v>
      </c>
      <c r="G120" s="19">
        <f t="shared" si="90"/>
        <v>117.64116</v>
      </c>
      <c r="H120" s="19">
        <f t="shared" si="91"/>
        <v>122.3468064</v>
      </c>
      <c r="I120" s="19">
        <f t="shared" si="84"/>
        <v>126.0172106</v>
      </c>
      <c r="J120" s="44">
        <f t="shared" si="5"/>
        <v>655.749177</v>
      </c>
      <c r="K120" s="27">
        <f t="shared" si="20"/>
        <v>0.004492496439</v>
      </c>
      <c r="L120" s="37"/>
      <c r="M120" s="37"/>
      <c r="N120" s="37"/>
      <c r="O120" s="37"/>
      <c r="P120" s="37"/>
      <c r="Q120" s="37"/>
      <c r="R120" s="37"/>
    </row>
    <row r="121">
      <c r="A121" s="43" t="s">
        <v>102</v>
      </c>
      <c r="B121" s="43" t="s">
        <v>115</v>
      </c>
      <c r="C121" s="43" t="s">
        <v>122</v>
      </c>
      <c r="D121" s="19">
        <v>153.0</v>
      </c>
      <c r="E121" s="19">
        <f t="shared" si="85"/>
        <v>160.65</v>
      </c>
      <c r="F121" s="19">
        <f t="shared" si="89"/>
        <v>173.502</v>
      </c>
      <c r="G121" s="19">
        <f t="shared" si="90"/>
        <v>197.79228</v>
      </c>
      <c r="H121" s="19">
        <f t="shared" si="91"/>
        <v>205.7039712</v>
      </c>
      <c r="I121" s="19">
        <f t="shared" si="84"/>
        <v>211.8750903</v>
      </c>
      <c r="J121" s="44">
        <f t="shared" si="5"/>
        <v>1102.523342</v>
      </c>
      <c r="K121" s="27">
        <f t="shared" si="20"/>
        <v>0.007553318188</v>
      </c>
      <c r="L121" s="37"/>
      <c r="M121" s="37"/>
      <c r="N121" s="37"/>
      <c r="O121" s="37"/>
      <c r="P121" s="37"/>
      <c r="Q121" s="37"/>
      <c r="R121" s="37"/>
    </row>
    <row r="122">
      <c r="A122" s="43" t="s">
        <v>102</v>
      </c>
      <c r="B122" s="43" t="s">
        <v>115</v>
      </c>
      <c r="C122" s="43" t="s">
        <v>118</v>
      </c>
      <c r="D122" s="19">
        <v>149.0</v>
      </c>
      <c r="E122" s="19">
        <f t="shared" si="85"/>
        <v>156.45</v>
      </c>
      <c r="F122" s="19">
        <f t="shared" si="89"/>
        <v>168.966</v>
      </c>
      <c r="G122" s="19">
        <f t="shared" si="90"/>
        <v>192.62124</v>
      </c>
      <c r="H122" s="19">
        <f t="shared" si="91"/>
        <v>200.3260896</v>
      </c>
      <c r="I122" s="19">
        <f t="shared" si="84"/>
        <v>206.3358723</v>
      </c>
      <c r="J122" s="44">
        <f t="shared" si="5"/>
        <v>1073.699202</v>
      </c>
      <c r="K122" s="27">
        <f t="shared" si="20"/>
        <v>0.007355845818</v>
      </c>
      <c r="L122" s="37"/>
      <c r="M122" s="37"/>
      <c r="N122" s="37"/>
      <c r="O122" s="37"/>
      <c r="P122" s="37"/>
      <c r="Q122" s="37"/>
      <c r="R122" s="37"/>
    </row>
    <row r="123">
      <c r="A123" s="43" t="s">
        <v>102</v>
      </c>
      <c r="B123" s="43" t="s">
        <v>115</v>
      </c>
      <c r="C123" s="45" t="s">
        <v>186</v>
      </c>
      <c r="D123" s="31">
        <v>0.0</v>
      </c>
      <c r="E123" s="31">
        <f>D123-(0.02*D123)</f>
        <v>0</v>
      </c>
      <c r="F123" s="31">
        <f>E123-(0.03*E123)</f>
        <v>0</v>
      </c>
      <c r="G123" s="31">
        <f>F123-(0.02*F123)</f>
        <v>0</v>
      </c>
      <c r="H123" s="31">
        <f>G123-(0.01*G123)</f>
        <v>0</v>
      </c>
      <c r="I123" s="31">
        <f t="shared" si="84"/>
        <v>0</v>
      </c>
      <c r="J123" s="44">
        <f t="shared" si="5"/>
        <v>0</v>
      </c>
      <c r="K123" s="27">
        <f t="shared" si="20"/>
        <v>0</v>
      </c>
      <c r="L123" s="37"/>
      <c r="M123" s="37"/>
      <c r="N123" s="37"/>
      <c r="O123" s="37"/>
      <c r="P123" s="37"/>
      <c r="Q123" s="37"/>
      <c r="R123" s="37"/>
    </row>
    <row r="124">
      <c r="A124" s="43" t="s">
        <v>102</v>
      </c>
      <c r="B124" s="43" t="s">
        <v>115</v>
      </c>
      <c r="C124" s="43" t="s">
        <v>117</v>
      </c>
      <c r="D124" s="19">
        <v>254.0</v>
      </c>
      <c r="E124" s="19">
        <f t="shared" ref="E124:E125" si="92">D124+(0.05*D124)</f>
        <v>266.7</v>
      </c>
      <c r="F124" s="19">
        <f t="shared" ref="F124:F125" si="93">E124+(0.08*E124)</f>
        <v>288.036</v>
      </c>
      <c r="G124" s="19">
        <f t="shared" ref="G124:G125" si="94">F124+(0.14*F124)</f>
        <v>328.36104</v>
      </c>
      <c r="H124" s="19">
        <f>G124+(0.04*G124)</f>
        <v>341.4954816</v>
      </c>
      <c r="I124" s="19">
        <f t="shared" si="84"/>
        <v>351.740346</v>
      </c>
      <c r="J124" s="44">
        <f t="shared" si="5"/>
        <v>1830.332868</v>
      </c>
      <c r="K124" s="27">
        <f t="shared" si="20"/>
        <v>0.01253949555</v>
      </c>
      <c r="L124" s="37"/>
      <c r="M124" s="37"/>
      <c r="N124" s="37"/>
      <c r="O124" s="37"/>
      <c r="P124" s="37"/>
      <c r="Q124" s="37"/>
      <c r="R124" s="37"/>
    </row>
    <row r="125">
      <c r="A125" s="43" t="s">
        <v>102</v>
      </c>
      <c r="B125" s="43" t="s">
        <v>115</v>
      </c>
      <c r="C125" s="43" t="s">
        <v>116</v>
      </c>
      <c r="D125" s="19">
        <v>213.0</v>
      </c>
      <c r="E125" s="19">
        <f t="shared" si="92"/>
        <v>223.65</v>
      </c>
      <c r="F125" s="19">
        <f t="shared" si="93"/>
        <v>241.542</v>
      </c>
      <c r="G125" s="19">
        <f t="shared" si="94"/>
        <v>275.35788</v>
      </c>
      <c r="H125" s="19">
        <v>282.0</v>
      </c>
      <c r="I125" s="19">
        <f t="shared" si="84"/>
        <v>290.46</v>
      </c>
      <c r="J125" s="44">
        <f t="shared" si="5"/>
        <v>1526.00988</v>
      </c>
      <c r="K125" s="27">
        <f t="shared" si="20"/>
        <v>0.01045459787</v>
      </c>
      <c r="L125" s="37"/>
      <c r="M125" s="37"/>
      <c r="N125" s="37"/>
      <c r="O125" s="37"/>
      <c r="P125" s="37"/>
      <c r="Q125" s="37"/>
      <c r="R125" s="37"/>
    </row>
    <row r="126">
      <c r="A126" s="43" t="s">
        <v>102</v>
      </c>
      <c r="B126" s="43" t="s">
        <v>115</v>
      </c>
      <c r="C126" s="45" t="s">
        <v>187</v>
      </c>
      <c r="D126" s="31">
        <v>0.0</v>
      </c>
      <c r="E126" s="31">
        <f>D126-(0.02*D126)</f>
        <v>0</v>
      </c>
      <c r="F126" s="31">
        <f>E126-(0.03*E126)</f>
        <v>0</v>
      </c>
      <c r="G126" s="31">
        <f>F126-(0.02*F126)</f>
        <v>0</v>
      </c>
      <c r="H126" s="31">
        <f>G126-(0.01*G126)</f>
        <v>0</v>
      </c>
      <c r="I126" s="31">
        <v>7.0</v>
      </c>
      <c r="J126" s="44">
        <f t="shared" si="5"/>
        <v>7</v>
      </c>
      <c r="K126" s="27">
        <f t="shared" si="20"/>
        <v>0.00004795656049</v>
      </c>
      <c r="L126" s="37"/>
      <c r="M126" s="37"/>
      <c r="N126" s="37"/>
      <c r="O126" s="37"/>
      <c r="P126" s="37"/>
      <c r="Q126" s="37"/>
      <c r="R126" s="37"/>
    </row>
    <row r="127">
      <c r="A127" s="43" t="s">
        <v>102</v>
      </c>
      <c r="B127" s="43" t="s">
        <v>115</v>
      </c>
      <c r="C127" s="43" t="s">
        <v>121</v>
      </c>
      <c r="D127" s="19">
        <v>162.0</v>
      </c>
      <c r="E127" s="19">
        <f t="shared" ref="E127:E128" si="95">D127+(0.05*D127)</f>
        <v>170.1</v>
      </c>
      <c r="F127" s="19">
        <f t="shared" ref="F127:F128" si="96">E127+(0.08*E127)</f>
        <v>183.708</v>
      </c>
      <c r="G127" s="19">
        <f t="shared" ref="G127:G128" si="97">F127+(0.14*F127)</f>
        <v>209.42712</v>
      </c>
      <c r="H127" s="19">
        <f t="shared" ref="H127:H128" si="98">G127+(0.04*G127)</f>
        <v>217.8042048</v>
      </c>
      <c r="I127" s="19">
        <f t="shared" ref="I127:I132" si="99">H127+(0.03*H127)</f>
        <v>224.3383309</v>
      </c>
      <c r="J127" s="44">
        <f t="shared" si="5"/>
        <v>1167.377656</v>
      </c>
      <c r="K127" s="27">
        <f t="shared" si="20"/>
        <v>0.007997631023</v>
      </c>
      <c r="L127" s="37"/>
      <c r="M127" s="37"/>
      <c r="N127" s="37"/>
      <c r="O127" s="37"/>
      <c r="P127" s="37"/>
      <c r="Q127" s="37"/>
      <c r="R127" s="37"/>
    </row>
    <row r="128">
      <c r="A128" s="43" t="s">
        <v>102</v>
      </c>
      <c r="B128" s="43" t="s">
        <v>124</v>
      </c>
      <c r="C128" s="43" t="s">
        <v>129</v>
      </c>
      <c r="D128" s="19">
        <v>256.0</v>
      </c>
      <c r="E128" s="19">
        <f t="shared" si="95"/>
        <v>268.8</v>
      </c>
      <c r="F128" s="19">
        <f t="shared" si="96"/>
        <v>290.304</v>
      </c>
      <c r="G128" s="19">
        <f t="shared" si="97"/>
        <v>330.94656</v>
      </c>
      <c r="H128" s="19">
        <f t="shared" si="98"/>
        <v>344.1844224</v>
      </c>
      <c r="I128" s="19">
        <f t="shared" si="99"/>
        <v>354.5099551</v>
      </c>
      <c r="J128" s="44">
        <f t="shared" si="5"/>
        <v>1844.744937</v>
      </c>
      <c r="K128" s="27">
        <f t="shared" si="20"/>
        <v>0.01263823174</v>
      </c>
      <c r="L128" s="37"/>
      <c r="M128" s="37"/>
      <c r="N128" s="37"/>
      <c r="O128" s="37"/>
      <c r="P128" s="37"/>
      <c r="Q128" s="37"/>
      <c r="R128" s="37"/>
    </row>
    <row r="129">
      <c r="A129" s="43" t="s">
        <v>102</v>
      </c>
      <c r="B129" s="43" t="s">
        <v>124</v>
      </c>
      <c r="C129" s="45" t="s">
        <v>188</v>
      </c>
      <c r="D129" s="31">
        <v>0.0</v>
      </c>
      <c r="E129" s="31">
        <f>D129-(0.02*D129)</f>
        <v>0</v>
      </c>
      <c r="F129" s="31">
        <f>E129-(0.03*E129)</f>
        <v>0</v>
      </c>
      <c r="G129" s="31">
        <f>F129-(0.02*F129)</f>
        <v>0</v>
      </c>
      <c r="H129" s="31">
        <f>G129-(0.01*G129)</f>
        <v>0</v>
      </c>
      <c r="I129" s="31">
        <f t="shared" si="99"/>
        <v>0</v>
      </c>
      <c r="J129" s="44">
        <f t="shared" si="5"/>
        <v>0</v>
      </c>
      <c r="K129" s="27">
        <f t="shared" si="20"/>
        <v>0</v>
      </c>
      <c r="L129" s="37"/>
      <c r="M129" s="37"/>
      <c r="N129" s="37"/>
      <c r="O129" s="37"/>
      <c r="P129" s="37"/>
      <c r="Q129" s="37"/>
      <c r="R129" s="37"/>
    </row>
    <row r="130">
      <c r="A130" s="43" t="s">
        <v>102</v>
      </c>
      <c r="B130" s="43" t="s">
        <v>124</v>
      </c>
      <c r="C130" s="43" t="s">
        <v>125</v>
      </c>
      <c r="D130" s="19">
        <v>264.0</v>
      </c>
      <c r="E130" s="19">
        <f>D130+(0.05*D130)</f>
        <v>277.2</v>
      </c>
      <c r="F130" s="19">
        <f>E130+(0.08*E130)</f>
        <v>299.376</v>
      </c>
      <c r="G130" s="19">
        <f>F130+(0.14*F130)</f>
        <v>341.28864</v>
      </c>
      <c r="H130" s="19">
        <f>G130+(0.04*G130)</f>
        <v>354.9401856</v>
      </c>
      <c r="I130" s="19">
        <f t="shared" si="99"/>
        <v>365.5883912</v>
      </c>
      <c r="J130" s="44">
        <f t="shared" si="5"/>
        <v>1902.393217</v>
      </c>
      <c r="K130" s="27">
        <f t="shared" si="20"/>
        <v>0.01303317648</v>
      </c>
      <c r="L130" s="37"/>
      <c r="M130" s="37"/>
      <c r="N130" s="37"/>
      <c r="O130" s="37"/>
      <c r="P130" s="37"/>
      <c r="Q130" s="37"/>
      <c r="R130" s="37"/>
    </row>
    <row r="131">
      <c r="A131" s="43" t="s">
        <v>102</v>
      </c>
      <c r="B131" s="43" t="s">
        <v>124</v>
      </c>
      <c r="C131" s="45" t="s">
        <v>189</v>
      </c>
      <c r="D131" s="31">
        <v>0.0</v>
      </c>
      <c r="E131" s="31">
        <f>D131-(0.02*D131)</f>
        <v>0</v>
      </c>
      <c r="F131" s="31">
        <f>E131-(0.03*E131)</f>
        <v>0</v>
      </c>
      <c r="G131" s="31">
        <f>F131-(0.02*F131)</f>
        <v>0</v>
      </c>
      <c r="H131" s="31">
        <f>G131-(0.01*G131)</f>
        <v>0</v>
      </c>
      <c r="I131" s="31">
        <f t="shared" si="99"/>
        <v>0</v>
      </c>
      <c r="J131" s="44">
        <f t="shared" si="5"/>
        <v>0</v>
      </c>
      <c r="K131" s="27">
        <f t="shared" si="20"/>
        <v>0</v>
      </c>
      <c r="L131" s="37"/>
      <c r="M131" s="37"/>
      <c r="N131" s="37"/>
      <c r="O131" s="37"/>
      <c r="P131" s="37"/>
      <c r="Q131" s="37"/>
      <c r="R131" s="37"/>
    </row>
    <row r="132">
      <c r="A132" s="43" t="s">
        <v>102</v>
      </c>
      <c r="B132" s="43" t="s">
        <v>124</v>
      </c>
      <c r="C132" s="43" t="s">
        <v>127</v>
      </c>
      <c r="D132" s="19">
        <v>402.0</v>
      </c>
      <c r="E132" s="19">
        <f>D132+(0.05*D132)</f>
        <v>422.1</v>
      </c>
      <c r="F132" s="19">
        <f>E132+(0.08*E132)</f>
        <v>455.868</v>
      </c>
      <c r="G132" s="19">
        <f>F132+(0.14*F132)</f>
        <v>519.68952</v>
      </c>
      <c r="H132" s="19">
        <f>G132+(0.04*G132)</f>
        <v>540.4771008</v>
      </c>
      <c r="I132" s="19">
        <f t="shared" si="99"/>
        <v>556.6914138</v>
      </c>
      <c r="J132" s="44">
        <f t="shared" si="5"/>
        <v>2896.826035</v>
      </c>
      <c r="K132" s="27">
        <f t="shared" si="20"/>
        <v>0.01984597328</v>
      </c>
      <c r="L132" s="37"/>
      <c r="M132" s="37"/>
      <c r="N132" s="37"/>
      <c r="O132" s="37"/>
      <c r="P132" s="37"/>
      <c r="Q132" s="37"/>
      <c r="R132" s="37"/>
    </row>
    <row r="133">
      <c r="A133" s="43" t="s">
        <v>102</v>
      </c>
      <c r="B133" s="43" t="s">
        <v>124</v>
      </c>
      <c r="C133" s="45" t="s">
        <v>190</v>
      </c>
      <c r="D133" s="31">
        <v>0.0</v>
      </c>
      <c r="E133" s="31">
        <f>D133-(0.02*D133)</f>
        <v>0</v>
      </c>
      <c r="F133" s="31">
        <f>E133-(0.03*E133)</f>
        <v>0</v>
      </c>
      <c r="G133" s="31">
        <f>F133-(0.02*F133)</f>
        <v>0</v>
      </c>
      <c r="H133" s="31">
        <f>G133-(0.01*G133)</f>
        <v>0</v>
      </c>
      <c r="I133" s="31">
        <v>11.0</v>
      </c>
      <c r="J133" s="44">
        <f t="shared" si="5"/>
        <v>11</v>
      </c>
      <c r="K133" s="27">
        <f t="shared" si="20"/>
        <v>0.00007536030934</v>
      </c>
      <c r="L133" s="37"/>
      <c r="M133" s="37"/>
      <c r="N133" s="37"/>
      <c r="O133" s="37"/>
      <c r="P133" s="37"/>
      <c r="Q133" s="37"/>
      <c r="R133" s="37"/>
    </row>
    <row r="134">
      <c r="A134" s="43" t="s">
        <v>102</v>
      </c>
      <c r="B134" s="43" t="s">
        <v>124</v>
      </c>
      <c r="C134" s="43" t="s">
        <v>126</v>
      </c>
      <c r="D134" s="19">
        <v>230.0</v>
      </c>
      <c r="E134" s="19">
        <f t="shared" ref="E134:E137" si="100">D134+(0.05*D134)</f>
        <v>241.5</v>
      </c>
      <c r="F134" s="19">
        <f t="shared" ref="F134:F137" si="101">E134+(0.08*E134)</f>
        <v>260.82</v>
      </c>
      <c r="G134" s="19">
        <f t="shared" ref="G134:G136" si="102">F134+(0.14*F134)</f>
        <v>297.3348</v>
      </c>
      <c r="H134" s="19">
        <f t="shared" ref="H134:H135" si="103">G134+(0.04*G134)</f>
        <v>309.228192</v>
      </c>
      <c r="I134" s="19">
        <f t="shared" ref="I134:I143" si="104">H134+(0.03*H134)</f>
        <v>318.5050378</v>
      </c>
      <c r="J134" s="44">
        <f t="shared" si="5"/>
        <v>1657.38803</v>
      </c>
      <c r="K134" s="27">
        <f t="shared" si="20"/>
        <v>0.01135466133</v>
      </c>
      <c r="L134" s="37"/>
      <c r="M134" s="37"/>
      <c r="N134" s="37"/>
      <c r="O134" s="37"/>
      <c r="P134" s="37"/>
      <c r="Q134" s="37"/>
      <c r="R134" s="37"/>
    </row>
    <row r="135">
      <c r="A135" s="43" t="s">
        <v>102</v>
      </c>
      <c r="B135" s="43" t="s">
        <v>124</v>
      </c>
      <c r="C135" s="43" t="s">
        <v>128</v>
      </c>
      <c r="D135" s="19">
        <v>189.0</v>
      </c>
      <c r="E135" s="19">
        <f t="shared" si="100"/>
        <v>198.45</v>
      </c>
      <c r="F135" s="19">
        <f t="shared" si="101"/>
        <v>214.326</v>
      </c>
      <c r="G135" s="19">
        <f t="shared" si="102"/>
        <v>244.33164</v>
      </c>
      <c r="H135" s="19">
        <f t="shared" si="103"/>
        <v>254.1049056</v>
      </c>
      <c r="I135" s="19">
        <f t="shared" si="104"/>
        <v>261.7280528</v>
      </c>
      <c r="J135" s="44">
        <f t="shared" si="5"/>
        <v>1361.940598</v>
      </c>
      <c r="K135" s="27">
        <f t="shared" si="20"/>
        <v>0.009330569527</v>
      </c>
      <c r="L135" s="37"/>
      <c r="M135" s="37"/>
      <c r="N135" s="37"/>
      <c r="O135" s="37"/>
      <c r="P135" s="37"/>
      <c r="Q135" s="37"/>
      <c r="R135" s="37"/>
    </row>
    <row r="136">
      <c r="A136" s="43" t="s">
        <v>130</v>
      </c>
      <c r="B136" s="43" t="s">
        <v>131</v>
      </c>
      <c r="C136" s="43" t="s">
        <v>134</v>
      </c>
      <c r="D136" s="19">
        <v>290.0</v>
      </c>
      <c r="E136" s="19">
        <f t="shared" si="100"/>
        <v>304.5</v>
      </c>
      <c r="F136" s="19">
        <f t="shared" si="101"/>
        <v>328.86</v>
      </c>
      <c r="G136" s="19">
        <f t="shared" si="102"/>
        <v>374.9004</v>
      </c>
      <c r="H136" s="19">
        <v>380.0</v>
      </c>
      <c r="I136" s="19">
        <f t="shared" si="104"/>
        <v>391.4</v>
      </c>
      <c r="J136" s="44">
        <f t="shared" si="5"/>
        <v>2069.6604</v>
      </c>
      <c r="K136" s="27">
        <f t="shared" si="20"/>
        <v>0.01417911345</v>
      </c>
      <c r="L136" s="37"/>
      <c r="M136" s="37"/>
      <c r="N136" s="37"/>
      <c r="O136" s="37"/>
      <c r="P136" s="37"/>
      <c r="Q136" s="37"/>
      <c r="R136" s="37"/>
    </row>
    <row r="137">
      <c r="A137" s="43" t="s">
        <v>130</v>
      </c>
      <c r="B137" s="43" t="s">
        <v>131</v>
      </c>
      <c r="C137" s="43" t="s">
        <v>136</v>
      </c>
      <c r="D137" s="19">
        <v>216.0</v>
      </c>
      <c r="E137" s="19">
        <f t="shared" si="100"/>
        <v>226.8</v>
      </c>
      <c r="F137" s="19">
        <f t="shared" si="101"/>
        <v>244.944</v>
      </c>
      <c r="G137" s="19">
        <v>260.0</v>
      </c>
      <c r="H137" s="19">
        <f>G137+(0.04*G137)</f>
        <v>270.4</v>
      </c>
      <c r="I137" s="19">
        <f t="shared" si="104"/>
        <v>278.512</v>
      </c>
      <c r="J137" s="44">
        <f t="shared" si="5"/>
        <v>1496.656</v>
      </c>
      <c r="K137" s="27">
        <f t="shared" si="20"/>
        <v>0.01025349629</v>
      </c>
      <c r="L137" s="37"/>
      <c r="M137" s="37"/>
      <c r="N137" s="37"/>
      <c r="O137" s="37"/>
      <c r="P137" s="37"/>
      <c r="Q137" s="37"/>
      <c r="R137" s="37"/>
    </row>
    <row r="138">
      <c r="A138" s="43" t="s">
        <v>130</v>
      </c>
      <c r="B138" s="43" t="s">
        <v>131</v>
      </c>
      <c r="C138" s="43" t="s">
        <v>132</v>
      </c>
      <c r="D138" s="19">
        <v>376.0</v>
      </c>
      <c r="E138" s="19">
        <v>380.0</v>
      </c>
      <c r="F138" s="19">
        <v>399.0</v>
      </c>
      <c r="G138" s="19">
        <v>410.0</v>
      </c>
      <c r="H138" s="19">
        <v>415.0</v>
      </c>
      <c r="I138" s="19">
        <f t="shared" si="104"/>
        <v>427.45</v>
      </c>
      <c r="J138" s="44">
        <f t="shared" si="5"/>
        <v>2407.45</v>
      </c>
      <c r="K138" s="27">
        <f t="shared" si="20"/>
        <v>0.01649328879</v>
      </c>
      <c r="L138" s="37"/>
      <c r="M138" s="37"/>
      <c r="N138" s="37"/>
      <c r="O138" s="37"/>
      <c r="P138" s="37"/>
      <c r="Q138" s="37"/>
      <c r="R138" s="37"/>
    </row>
    <row r="139">
      <c r="A139" s="43" t="s">
        <v>130</v>
      </c>
      <c r="B139" s="43" t="s">
        <v>131</v>
      </c>
      <c r="C139" s="43" t="s">
        <v>135</v>
      </c>
      <c r="D139" s="19">
        <v>266.0</v>
      </c>
      <c r="E139" s="19">
        <v>270.0</v>
      </c>
      <c r="F139" s="19">
        <f t="shared" ref="F139:F148" si="105">E139+(0.08*E139)</f>
        <v>291.6</v>
      </c>
      <c r="G139" s="19">
        <v>300.0</v>
      </c>
      <c r="H139" s="19">
        <f>G139+(0.04*G139)</f>
        <v>312</v>
      </c>
      <c r="I139" s="19">
        <f t="shared" si="104"/>
        <v>321.36</v>
      </c>
      <c r="J139" s="44">
        <f t="shared" si="5"/>
        <v>1760.96</v>
      </c>
      <c r="K139" s="27">
        <f t="shared" si="20"/>
        <v>0.01206422639</v>
      </c>
      <c r="L139" s="37"/>
      <c r="M139" s="37"/>
      <c r="N139" s="37"/>
      <c r="O139" s="37"/>
      <c r="P139" s="37"/>
      <c r="Q139" s="37"/>
      <c r="R139" s="37"/>
    </row>
    <row r="140">
      <c r="A140" s="43" t="s">
        <v>130</v>
      </c>
      <c r="B140" s="43" t="s">
        <v>131</v>
      </c>
      <c r="C140" s="43" t="s">
        <v>139</v>
      </c>
      <c r="D140" s="19">
        <v>144.0</v>
      </c>
      <c r="E140" s="19">
        <f t="shared" ref="E140:E143" si="106">D140+(0.05*D140)</f>
        <v>151.2</v>
      </c>
      <c r="F140" s="19">
        <f t="shared" si="105"/>
        <v>163.296</v>
      </c>
      <c r="G140" s="19">
        <f>F140+(0.14*F140)</f>
        <v>186.15744</v>
      </c>
      <c r="H140" s="19">
        <v>190.0</v>
      </c>
      <c r="I140" s="19">
        <f t="shared" si="104"/>
        <v>195.7</v>
      </c>
      <c r="J140" s="44">
        <f t="shared" si="5"/>
        <v>1030.35344</v>
      </c>
      <c r="K140" s="27">
        <f t="shared" si="20"/>
        <v>0.007058886724</v>
      </c>
      <c r="L140" s="37"/>
      <c r="M140" s="37"/>
      <c r="N140" s="37"/>
      <c r="O140" s="37"/>
      <c r="P140" s="37"/>
      <c r="Q140" s="37"/>
      <c r="R140" s="37"/>
    </row>
    <row r="141">
      <c r="A141" s="43" t="s">
        <v>130</v>
      </c>
      <c r="B141" s="43" t="s">
        <v>131</v>
      </c>
      <c r="C141" s="43" t="s">
        <v>137</v>
      </c>
      <c r="D141" s="19">
        <v>209.0</v>
      </c>
      <c r="E141" s="19">
        <f t="shared" si="106"/>
        <v>219.45</v>
      </c>
      <c r="F141" s="19">
        <f t="shared" si="105"/>
        <v>237.006</v>
      </c>
      <c r="G141" s="19">
        <v>340.0</v>
      </c>
      <c r="H141" s="19">
        <v>350.0</v>
      </c>
      <c r="I141" s="19">
        <f t="shared" si="104"/>
        <v>360.5</v>
      </c>
      <c r="J141" s="44">
        <f t="shared" si="5"/>
        <v>1715.956</v>
      </c>
      <c r="K141" s="27">
        <f t="shared" si="20"/>
        <v>0.01175590682</v>
      </c>
      <c r="L141" s="37"/>
      <c r="M141" s="37"/>
      <c r="N141" s="37"/>
      <c r="O141" s="37"/>
      <c r="P141" s="37"/>
      <c r="Q141" s="37"/>
      <c r="R141" s="37"/>
    </row>
    <row r="142">
      <c r="A142" s="43" t="s">
        <v>130</v>
      </c>
      <c r="B142" s="43" t="s">
        <v>131</v>
      </c>
      <c r="C142" s="43" t="s">
        <v>140</v>
      </c>
      <c r="D142" s="19">
        <v>91.0</v>
      </c>
      <c r="E142" s="19">
        <f t="shared" si="106"/>
        <v>95.55</v>
      </c>
      <c r="F142" s="19">
        <f t="shared" si="105"/>
        <v>103.194</v>
      </c>
      <c r="G142" s="19">
        <f t="shared" ref="G142:G144" si="107">F142+(0.14*F142)</f>
        <v>117.64116</v>
      </c>
      <c r="H142" s="19">
        <f t="shared" ref="H142:H143" si="108">G142+(0.04*G142)</f>
        <v>122.3468064</v>
      </c>
      <c r="I142" s="19">
        <f t="shared" si="104"/>
        <v>126.0172106</v>
      </c>
      <c r="J142" s="44">
        <f t="shared" si="5"/>
        <v>655.749177</v>
      </c>
      <c r="K142" s="27">
        <f t="shared" si="20"/>
        <v>0.004492496439</v>
      </c>
      <c r="L142" s="37"/>
      <c r="M142" s="37"/>
      <c r="N142" s="37"/>
      <c r="O142" s="37"/>
      <c r="P142" s="37"/>
      <c r="Q142" s="37"/>
      <c r="R142" s="37"/>
    </row>
    <row r="143">
      <c r="A143" s="43" t="s">
        <v>130</v>
      </c>
      <c r="B143" s="43" t="s">
        <v>131</v>
      </c>
      <c r="C143" s="43" t="s">
        <v>138</v>
      </c>
      <c r="D143" s="19">
        <v>162.0</v>
      </c>
      <c r="E143" s="19">
        <f t="shared" si="106"/>
        <v>170.1</v>
      </c>
      <c r="F143" s="19">
        <f t="shared" si="105"/>
        <v>183.708</v>
      </c>
      <c r="G143" s="19">
        <f t="shared" si="107"/>
        <v>209.42712</v>
      </c>
      <c r="H143" s="19">
        <f t="shared" si="108"/>
        <v>217.8042048</v>
      </c>
      <c r="I143" s="19">
        <f t="shared" si="104"/>
        <v>224.3383309</v>
      </c>
      <c r="J143" s="44">
        <f t="shared" si="5"/>
        <v>1167.377656</v>
      </c>
      <c r="K143" s="27">
        <f t="shared" si="20"/>
        <v>0.007997631023</v>
      </c>
      <c r="L143" s="37"/>
      <c r="M143" s="37"/>
      <c r="N143" s="37"/>
      <c r="O143" s="37"/>
      <c r="P143" s="37"/>
      <c r="Q143" s="37"/>
      <c r="R143" s="37"/>
    </row>
    <row r="144">
      <c r="A144" s="43" t="s">
        <v>130</v>
      </c>
      <c r="B144" s="43" t="s">
        <v>131</v>
      </c>
      <c r="C144" s="43" t="s">
        <v>133</v>
      </c>
      <c r="D144" s="19">
        <v>255.0</v>
      </c>
      <c r="E144" s="19">
        <v>264.0</v>
      </c>
      <c r="F144" s="19">
        <f t="shared" si="105"/>
        <v>285.12</v>
      </c>
      <c r="G144" s="19">
        <f t="shared" si="107"/>
        <v>325.0368</v>
      </c>
      <c r="H144" s="19">
        <v>330.0</v>
      </c>
      <c r="I144" s="19">
        <v>335.0</v>
      </c>
      <c r="J144" s="44">
        <f t="shared" si="5"/>
        <v>1794.1568</v>
      </c>
      <c r="K144" s="27">
        <f t="shared" si="20"/>
        <v>0.01229165559</v>
      </c>
      <c r="L144" s="37"/>
      <c r="M144" s="37"/>
      <c r="N144" s="37"/>
      <c r="O144" s="37"/>
      <c r="P144" s="37"/>
      <c r="Q144" s="37"/>
      <c r="R144" s="37"/>
    </row>
    <row r="145">
      <c r="A145" s="43" t="s">
        <v>130</v>
      </c>
      <c r="B145" s="43" t="s">
        <v>156</v>
      </c>
      <c r="C145" s="43" t="s">
        <v>159</v>
      </c>
      <c r="D145" s="19">
        <v>239.0</v>
      </c>
      <c r="E145" s="19">
        <f t="shared" ref="E145:E148" si="109">D145+(0.05*D145)</f>
        <v>250.95</v>
      </c>
      <c r="F145" s="19">
        <f t="shared" si="105"/>
        <v>271.026</v>
      </c>
      <c r="G145" s="19">
        <v>308.0</v>
      </c>
      <c r="H145" s="19">
        <v>314.0</v>
      </c>
      <c r="I145" s="19">
        <f t="shared" ref="I145:I146" si="110">H145+(0.03*H145)</f>
        <v>323.42</v>
      </c>
      <c r="J145" s="44">
        <f t="shared" si="5"/>
        <v>1706.396</v>
      </c>
      <c r="K145" s="27">
        <f t="shared" si="20"/>
        <v>0.01169041186</v>
      </c>
      <c r="L145" s="37"/>
      <c r="M145" s="37"/>
      <c r="N145" s="37"/>
      <c r="O145" s="37"/>
      <c r="P145" s="37"/>
      <c r="Q145" s="37"/>
      <c r="R145" s="37"/>
    </row>
    <row r="146">
      <c r="A146" s="43" t="s">
        <v>130</v>
      </c>
      <c r="B146" s="43" t="s">
        <v>156</v>
      </c>
      <c r="C146" s="43" t="s">
        <v>169</v>
      </c>
      <c r="D146" s="19">
        <v>129.0</v>
      </c>
      <c r="E146" s="19">
        <f t="shared" si="109"/>
        <v>135.45</v>
      </c>
      <c r="F146" s="19">
        <f t="shared" si="105"/>
        <v>146.286</v>
      </c>
      <c r="G146" s="19">
        <f>F146+(0.14*F146)</f>
        <v>166.76604</v>
      </c>
      <c r="H146" s="19">
        <f t="shared" ref="H146:H148" si="111">G146+(0.04*G146)</f>
        <v>173.4366816</v>
      </c>
      <c r="I146" s="19">
        <f t="shared" si="110"/>
        <v>178.639782</v>
      </c>
      <c r="J146" s="44">
        <f t="shared" si="5"/>
        <v>929.5785036</v>
      </c>
      <c r="K146" s="27">
        <f t="shared" si="20"/>
        <v>0.006368483963</v>
      </c>
      <c r="L146" s="37"/>
      <c r="M146" s="37"/>
      <c r="N146" s="37"/>
      <c r="O146" s="37"/>
      <c r="P146" s="37"/>
      <c r="Q146" s="37"/>
      <c r="R146" s="37"/>
    </row>
    <row r="147">
      <c r="A147" s="43" t="s">
        <v>130</v>
      </c>
      <c r="B147" s="43" t="s">
        <v>156</v>
      </c>
      <c r="C147" s="43" t="s">
        <v>168</v>
      </c>
      <c r="D147" s="19">
        <v>197.0</v>
      </c>
      <c r="E147" s="19">
        <f t="shared" si="109"/>
        <v>206.85</v>
      </c>
      <c r="F147" s="19">
        <f t="shared" si="105"/>
        <v>223.398</v>
      </c>
      <c r="G147" s="19">
        <v>240.0</v>
      </c>
      <c r="H147" s="19">
        <f t="shared" si="111"/>
        <v>249.6</v>
      </c>
      <c r="I147" s="19">
        <v>256.0</v>
      </c>
      <c r="J147" s="44">
        <f t="shared" si="5"/>
        <v>1372.848</v>
      </c>
      <c r="K147" s="27">
        <f t="shared" si="20"/>
        <v>0.009405295451</v>
      </c>
      <c r="L147" s="37"/>
      <c r="M147" s="37"/>
      <c r="N147" s="37"/>
      <c r="O147" s="37"/>
      <c r="P147" s="37"/>
      <c r="Q147" s="37"/>
      <c r="R147" s="37"/>
    </row>
    <row r="148">
      <c r="A148" s="43" t="s">
        <v>130</v>
      </c>
      <c r="B148" s="43" t="s">
        <v>156</v>
      </c>
      <c r="C148" s="43" t="s">
        <v>166</v>
      </c>
      <c r="D148" s="19">
        <v>150.0</v>
      </c>
      <c r="E148" s="19">
        <f t="shared" si="109"/>
        <v>157.5</v>
      </c>
      <c r="F148" s="19">
        <f t="shared" si="105"/>
        <v>170.1</v>
      </c>
      <c r="G148" s="19">
        <f>F148+(0.14*F148)</f>
        <v>193.914</v>
      </c>
      <c r="H148" s="19">
        <f t="shared" si="111"/>
        <v>201.67056</v>
      </c>
      <c r="I148" s="19">
        <f>H148+(0.03*H148)</f>
        <v>207.7206768</v>
      </c>
      <c r="J148" s="44">
        <f t="shared" si="5"/>
        <v>1080.905237</v>
      </c>
      <c r="K148" s="27">
        <f t="shared" si="20"/>
        <v>0.00740521391</v>
      </c>
      <c r="L148" s="37"/>
      <c r="M148" s="37"/>
      <c r="N148" s="37"/>
      <c r="O148" s="37"/>
      <c r="P148" s="37"/>
      <c r="Q148" s="37"/>
      <c r="R148" s="37"/>
    </row>
    <row r="149">
      <c r="A149" s="43" t="s">
        <v>130</v>
      </c>
      <c r="B149" s="43" t="s">
        <v>156</v>
      </c>
      <c r="C149" s="45" t="s">
        <v>170</v>
      </c>
      <c r="D149" s="31">
        <v>0.0</v>
      </c>
      <c r="E149" s="31">
        <v>23.0</v>
      </c>
      <c r="F149" s="31">
        <v>32.0</v>
      </c>
      <c r="G149" s="31">
        <v>37.0</v>
      </c>
      <c r="H149" s="31">
        <v>42.0</v>
      </c>
      <c r="I149" s="31">
        <v>46.0</v>
      </c>
      <c r="J149" s="44">
        <f t="shared" si="5"/>
        <v>180</v>
      </c>
      <c r="K149" s="27">
        <f t="shared" si="20"/>
        <v>0.001233168698</v>
      </c>
      <c r="L149" s="37"/>
      <c r="M149" s="37"/>
      <c r="N149" s="37"/>
      <c r="O149" s="37"/>
      <c r="P149" s="37"/>
      <c r="Q149" s="37"/>
      <c r="R149" s="37"/>
    </row>
    <row r="150">
      <c r="A150" s="43" t="s">
        <v>130</v>
      </c>
      <c r="B150" s="43" t="s">
        <v>156</v>
      </c>
      <c r="C150" s="43" t="s">
        <v>160</v>
      </c>
      <c r="D150" s="19">
        <v>240.0</v>
      </c>
      <c r="E150" s="19">
        <f t="shared" ref="E150:E156" si="112">D150+(0.05*D150)</f>
        <v>252</v>
      </c>
      <c r="F150" s="19">
        <f t="shared" ref="F150:F152" si="113">E150+(0.08*E150)</f>
        <v>272.16</v>
      </c>
      <c r="G150" s="19">
        <f t="shared" ref="G150:G154" si="114">F150+(0.14*F150)</f>
        <v>310.2624</v>
      </c>
      <c r="H150" s="19">
        <v>320.0</v>
      </c>
      <c r="I150" s="19">
        <f t="shared" ref="I150:I151" si="115">H150+(0.03*H150)</f>
        <v>329.6</v>
      </c>
      <c r="J150" s="44">
        <f t="shared" si="5"/>
        <v>1724.0224</v>
      </c>
      <c r="K150" s="27">
        <f t="shared" si="20"/>
        <v>0.01181116922</v>
      </c>
      <c r="L150" s="37"/>
      <c r="M150" s="37"/>
      <c r="N150" s="37"/>
      <c r="O150" s="37"/>
      <c r="P150" s="37"/>
      <c r="Q150" s="37"/>
      <c r="R150" s="37"/>
    </row>
    <row r="151">
      <c r="A151" s="43" t="s">
        <v>130</v>
      </c>
      <c r="B151" s="43" t="s">
        <v>156</v>
      </c>
      <c r="C151" s="43" t="s">
        <v>165</v>
      </c>
      <c r="D151" s="19">
        <v>162.0</v>
      </c>
      <c r="E151" s="19">
        <f t="shared" si="112"/>
        <v>170.1</v>
      </c>
      <c r="F151" s="19">
        <f t="shared" si="113"/>
        <v>183.708</v>
      </c>
      <c r="G151" s="19">
        <f t="shared" si="114"/>
        <v>209.42712</v>
      </c>
      <c r="H151" s="19">
        <f>G151+(0.04*G151)</f>
        <v>217.8042048</v>
      </c>
      <c r="I151" s="19">
        <f t="shared" si="115"/>
        <v>224.3383309</v>
      </c>
      <c r="J151" s="44">
        <f t="shared" si="5"/>
        <v>1167.377656</v>
      </c>
      <c r="K151" s="27">
        <f t="shared" si="20"/>
        <v>0.007997631023</v>
      </c>
      <c r="L151" s="37"/>
      <c r="M151" s="37"/>
      <c r="N151" s="37"/>
      <c r="O151" s="37"/>
      <c r="P151" s="37"/>
      <c r="Q151" s="37"/>
      <c r="R151" s="37"/>
    </row>
    <row r="152">
      <c r="A152" s="43" t="s">
        <v>130</v>
      </c>
      <c r="B152" s="43" t="s">
        <v>156</v>
      </c>
      <c r="C152" s="43" t="s">
        <v>163</v>
      </c>
      <c r="D152" s="19">
        <v>205.0</v>
      </c>
      <c r="E152" s="19">
        <f t="shared" si="112"/>
        <v>215.25</v>
      </c>
      <c r="F152" s="19">
        <f t="shared" si="113"/>
        <v>232.47</v>
      </c>
      <c r="G152" s="19">
        <f t="shared" si="114"/>
        <v>265.0158</v>
      </c>
      <c r="H152" s="19">
        <v>270.0</v>
      </c>
      <c r="I152" s="19">
        <v>250.0</v>
      </c>
      <c r="J152" s="44">
        <f t="shared" si="5"/>
        <v>1437.7358</v>
      </c>
      <c r="K152" s="27">
        <f t="shared" si="20"/>
        <v>0.009849837694</v>
      </c>
      <c r="L152" s="37"/>
      <c r="M152" s="37"/>
      <c r="N152" s="37"/>
      <c r="O152" s="37"/>
      <c r="P152" s="37"/>
      <c r="Q152" s="37"/>
      <c r="R152" s="37"/>
    </row>
    <row r="153">
      <c r="A153" s="43" t="s">
        <v>130</v>
      </c>
      <c r="B153" s="43" t="s">
        <v>156</v>
      </c>
      <c r="C153" s="43" t="s">
        <v>157</v>
      </c>
      <c r="D153" s="19">
        <v>210.0</v>
      </c>
      <c r="E153" s="19">
        <f t="shared" si="112"/>
        <v>220.5</v>
      </c>
      <c r="F153" s="19">
        <v>230.0</v>
      </c>
      <c r="G153" s="19">
        <f t="shared" si="114"/>
        <v>262.2</v>
      </c>
      <c r="H153" s="19">
        <f>G153+(0.04*G153)</f>
        <v>272.688</v>
      </c>
      <c r="I153" s="19">
        <f t="shared" ref="I153:I154" si="116">H153+(0.03*H153)</f>
        <v>280.86864</v>
      </c>
      <c r="J153" s="44">
        <f t="shared" si="5"/>
        <v>1476.25664</v>
      </c>
      <c r="K153" s="27">
        <f t="shared" si="20"/>
        <v>0.01011374155</v>
      </c>
      <c r="L153" s="37"/>
      <c r="M153" s="37"/>
      <c r="N153" s="37"/>
      <c r="O153" s="37"/>
      <c r="P153" s="37"/>
      <c r="Q153" s="37"/>
      <c r="R153" s="37"/>
    </row>
    <row r="154">
      <c r="A154" s="43" t="s">
        <v>130</v>
      </c>
      <c r="B154" s="43" t="s">
        <v>156</v>
      </c>
      <c r="C154" s="43" t="s">
        <v>162</v>
      </c>
      <c r="D154" s="19">
        <v>180.0</v>
      </c>
      <c r="E154" s="19">
        <f t="shared" si="112"/>
        <v>189</v>
      </c>
      <c r="F154" s="19">
        <v>197.0</v>
      </c>
      <c r="G154" s="19">
        <f t="shared" si="114"/>
        <v>224.58</v>
      </c>
      <c r="H154" s="19">
        <v>230.0</v>
      </c>
      <c r="I154" s="19">
        <f t="shared" si="116"/>
        <v>236.9</v>
      </c>
      <c r="J154" s="44">
        <f t="shared" si="5"/>
        <v>1257.48</v>
      </c>
      <c r="K154" s="27">
        <f t="shared" si="20"/>
        <v>0.008614916526</v>
      </c>
      <c r="L154" s="37"/>
      <c r="M154" s="37"/>
      <c r="N154" s="37"/>
      <c r="O154" s="37"/>
      <c r="P154" s="37"/>
      <c r="Q154" s="37"/>
      <c r="R154" s="37"/>
    </row>
    <row r="155">
      <c r="A155" s="43" t="s">
        <v>130</v>
      </c>
      <c r="B155" s="43" t="s">
        <v>141</v>
      </c>
      <c r="C155" s="43" t="s">
        <v>142</v>
      </c>
      <c r="D155" s="19">
        <v>283.0</v>
      </c>
      <c r="E155" s="19">
        <f t="shared" si="112"/>
        <v>297.15</v>
      </c>
      <c r="F155" s="19">
        <v>311.0</v>
      </c>
      <c r="G155" s="19">
        <v>310.0</v>
      </c>
      <c r="H155" s="19">
        <v>324.0</v>
      </c>
      <c r="I155" s="19">
        <v>330.0</v>
      </c>
      <c r="J155" s="44">
        <f t="shared" si="5"/>
        <v>1855.15</v>
      </c>
      <c r="K155" s="27">
        <f t="shared" si="20"/>
        <v>0.01270951617</v>
      </c>
      <c r="L155" s="37"/>
      <c r="M155" s="37"/>
      <c r="N155" s="37"/>
      <c r="O155" s="37"/>
      <c r="P155" s="37"/>
      <c r="Q155" s="37"/>
      <c r="R155" s="37"/>
    </row>
    <row r="156">
      <c r="A156" s="43" t="s">
        <v>130</v>
      </c>
      <c r="B156" s="43" t="s">
        <v>141</v>
      </c>
      <c r="C156" s="43" t="s">
        <v>143</v>
      </c>
      <c r="D156" s="19">
        <v>232.0</v>
      </c>
      <c r="E156" s="19">
        <f t="shared" si="112"/>
        <v>243.6</v>
      </c>
      <c r="F156" s="19">
        <f>E156+(0.08*E156)</f>
        <v>263.088</v>
      </c>
      <c r="G156" s="19">
        <v>290.0</v>
      </c>
      <c r="H156" s="19">
        <v>309.0</v>
      </c>
      <c r="I156" s="19">
        <f>H156+(0.03*H156)</f>
        <v>318.27</v>
      </c>
      <c r="J156" s="44">
        <f t="shared" si="5"/>
        <v>1655.958</v>
      </c>
      <c r="K156" s="27">
        <f t="shared" si="20"/>
        <v>0.01134486428</v>
      </c>
      <c r="L156" s="37"/>
      <c r="M156" s="37"/>
      <c r="N156" s="37"/>
      <c r="O156" s="37"/>
      <c r="P156" s="37"/>
      <c r="Q156" s="37"/>
      <c r="R156" s="37"/>
    </row>
    <row r="157">
      <c r="A157" s="43" t="s">
        <v>130</v>
      </c>
      <c r="B157" s="43" t="s">
        <v>141</v>
      </c>
      <c r="C157" s="45" t="s">
        <v>153</v>
      </c>
      <c r="D157" s="31">
        <v>0.0</v>
      </c>
      <c r="E157" s="31">
        <f>D157-(0.02*D157)</f>
        <v>0</v>
      </c>
      <c r="F157" s="31">
        <v>54.0</v>
      </c>
      <c r="G157" s="31">
        <v>69.0</v>
      </c>
      <c r="H157" s="31">
        <v>78.0</v>
      </c>
      <c r="I157" s="31">
        <v>85.0</v>
      </c>
      <c r="J157" s="44">
        <f t="shared" si="5"/>
        <v>286</v>
      </c>
      <c r="K157" s="27">
        <f t="shared" si="20"/>
        <v>0.001959368043</v>
      </c>
      <c r="L157" s="37"/>
      <c r="M157" s="37"/>
      <c r="N157" s="37"/>
      <c r="O157" s="37"/>
      <c r="P157" s="37"/>
      <c r="Q157" s="37"/>
      <c r="R157" s="37"/>
    </row>
    <row r="158">
      <c r="A158" s="43" t="s">
        <v>130</v>
      </c>
      <c r="B158" s="43" t="s">
        <v>141</v>
      </c>
      <c r="C158" s="43" t="s">
        <v>152</v>
      </c>
      <c r="D158" s="19">
        <v>83.0</v>
      </c>
      <c r="E158" s="19">
        <f t="shared" ref="E158:E160" si="117">D158+(0.05*D158)</f>
        <v>87.15</v>
      </c>
      <c r="F158" s="19">
        <f>E158+(0.08*E158)</f>
        <v>94.122</v>
      </c>
      <c r="G158" s="19">
        <f t="shared" ref="G158:G161" si="118">F158+(0.14*F158)</f>
        <v>107.29908</v>
      </c>
      <c r="H158" s="19">
        <f t="shared" ref="H158:H160" si="119">G158+(0.04*G158)</f>
        <v>111.5910432</v>
      </c>
      <c r="I158" s="19">
        <f t="shared" ref="I158:I159" si="120">H158+(0.03*H158)</f>
        <v>114.9387745</v>
      </c>
      <c r="J158" s="44">
        <f t="shared" si="5"/>
        <v>598.1008977</v>
      </c>
      <c r="K158" s="27">
        <f t="shared" si="20"/>
        <v>0.004097551697</v>
      </c>
      <c r="L158" s="37"/>
      <c r="M158" s="37"/>
      <c r="N158" s="37"/>
      <c r="O158" s="37"/>
      <c r="P158" s="37"/>
      <c r="Q158" s="37"/>
      <c r="R158" s="37"/>
    </row>
    <row r="159">
      <c r="A159" s="43" t="s">
        <v>130</v>
      </c>
      <c r="B159" s="43" t="s">
        <v>141</v>
      </c>
      <c r="C159" s="43" t="s">
        <v>147</v>
      </c>
      <c r="D159" s="19">
        <v>140.0</v>
      </c>
      <c r="E159" s="19">
        <f t="shared" si="117"/>
        <v>147</v>
      </c>
      <c r="F159" s="19">
        <v>150.0</v>
      </c>
      <c r="G159" s="19">
        <f t="shared" si="118"/>
        <v>171</v>
      </c>
      <c r="H159" s="19">
        <f t="shared" si="119"/>
        <v>177.84</v>
      </c>
      <c r="I159" s="19">
        <f t="shared" si="120"/>
        <v>183.1752</v>
      </c>
      <c r="J159" s="44">
        <f t="shared" si="5"/>
        <v>969.0152</v>
      </c>
      <c r="K159" s="27">
        <f t="shared" si="20"/>
        <v>0.006638662293</v>
      </c>
      <c r="L159" s="37"/>
      <c r="M159" s="37"/>
      <c r="N159" s="37"/>
      <c r="O159" s="37"/>
      <c r="P159" s="37"/>
      <c r="Q159" s="37"/>
      <c r="R159" s="37"/>
    </row>
    <row r="160">
      <c r="A160" s="43" t="s">
        <v>130</v>
      </c>
      <c r="B160" s="43" t="s">
        <v>141</v>
      </c>
      <c r="C160" s="43" t="s">
        <v>151</v>
      </c>
      <c r="D160" s="19">
        <v>134.0</v>
      </c>
      <c r="E160" s="19">
        <f t="shared" si="117"/>
        <v>140.7</v>
      </c>
      <c r="F160" s="19">
        <f t="shared" ref="F160:F161" si="121">E160+(0.08*E160)</f>
        <v>151.956</v>
      </c>
      <c r="G160" s="19">
        <f t="shared" si="118"/>
        <v>173.22984</v>
      </c>
      <c r="H160" s="19">
        <f t="shared" si="119"/>
        <v>180.1590336</v>
      </c>
      <c r="I160" s="19">
        <v>185.0</v>
      </c>
      <c r="J160" s="44">
        <f t="shared" si="5"/>
        <v>965.0448736</v>
      </c>
      <c r="K160" s="27">
        <f t="shared" si="20"/>
        <v>0.006611461837</v>
      </c>
      <c r="L160" s="37"/>
      <c r="M160" s="37"/>
      <c r="N160" s="37"/>
      <c r="O160" s="37"/>
      <c r="P160" s="37"/>
      <c r="Q160" s="37"/>
      <c r="R160" s="37"/>
    </row>
    <row r="161">
      <c r="A161" s="43" t="s">
        <v>130</v>
      </c>
      <c r="B161" s="43" t="s">
        <v>141</v>
      </c>
      <c r="C161" s="43" t="s">
        <v>146</v>
      </c>
      <c r="D161" s="19">
        <v>146.0</v>
      </c>
      <c r="E161" s="19">
        <v>149.0</v>
      </c>
      <c r="F161" s="19">
        <f t="shared" si="121"/>
        <v>160.92</v>
      </c>
      <c r="G161" s="19">
        <f t="shared" si="118"/>
        <v>183.4488</v>
      </c>
      <c r="H161" s="19">
        <v>189.0</v>
      </c>
      <c r="I161" s="19">
        <f>H161+(0.03*H161)</f>
        <v>194.67</v>
      </c>
      <c r="J161" s="44">
        <f t="shared" si="5"/>
        <v>1023.0388</v>
      </c>
      <c r="K161" s="27">
        <f t="shared" si="20"/>
        <v>0.007008774585</v>
      </c>
      <c r="L161" s="37"/>
      <c r="M161" s="37"/>
      <c r="N161" s="37"/>
      <c r="O161" s="37"/>
      <c r="P161" s="37"/>
      <c r="Q161" s="37"/>
      <c r="R161" s="37"/>
    </row>
    <row r="162">
      <c r="A162" s="43" t="s">
        <v>130</v>
      </c>
      <c r="B162" s="43" t="s">
        <v>141</v>
      </c>
      <c r="C162" s="45" t="s">
        <v>191</v>
      </c>
      <c r="D162" s="31">
        <v>0.0</v>
      </c>
      <c r="E162" s="31">
        <f>D162-(0.02*D162)</f>
        <v>0</v>
      </c>
      <c r="F162" s="31">
        <f>E162-(0.03*E162)</f>
        <v>0</v>
      </c>
      <c r="G162" s="31">
        <v>13.0</v>
      </c>
      <c r="H162" s="31">
        <v>15.0</v>
      </c>
      <c r="I162" s="31">
        <v>19.0</v>
      </c>
      <c r="J162" s="44">
        <f t="shared" si="5"/>
        <v>47</v>
      </c>
      <c r="K162" s="27">
        <f t="shared" si="20"/>
        <v>0.000321994049</v>
      </c>
      <c r="L162" s="37"/>
      <c r="M162" s="37"/>
      <c r="N162" s="37"/>
      <c r="O162" s="37"/>
      <c r="P162" s="37"/>
      <c r="Q162" s="37"/>
      <c r="R162" s="37"/>
    </row>
    <row r="163">
      <c r="A163" s="43" t="s">
        <v>130</v>
      </c>
      <c r="B163" s="43" t="s">
        <v>141</v>
      </c>
      <c r="C163" s="43" t="s">
        <v>149</v>
      </c>
      <c r="D163" s="19">
        <v>128.0</v>
      </c>
      <c r="E163" s="19">
        <v>135.0</v>
      </c>
      <c r="F163" s="19">
        <f>E163+(0.08*E163)</f>
        <v>145.8</v>
      </c>
      <c r="G163" s="19">
        <f>F163+(0.14*F163)</f>
        <v>166.212</v>
      </c>
      <c r="H163" s="19">
        <v>171.0</v>
      </c>
      <c r="I163" s="19">
        <f>H163+(0.03*H163)</f>
        <v>176.13</v>
      </c>
      <c r="J163" s="44">
        <f t="shared" si="5"/>
        <v>922.142</v>
      </c>
      <c r="K163" s="27">
        <f t="shared" si="20"/>
        <v>0.006317536943</v>
      </c>
      <c r="L163" s="37"/>
      <c r="M163" s="37"/>
      <c r="N163" s="37"/>
      <c r="O163" s="37"/>
      <c r="P163" s="37"/>
      <c r="Q163" s="37"/>
      <c r="R163" s="37"/>
    </row>
    <row r="164">
      <c r="A164" s="37"/>
      <c r="B164" s="37"/>
      <c r="C164" s="37"/>
      <c r="D164" s="54">
        <f t="shared" ref="D164:I164" si="122">SUM(D3:D163)</f>
        <v>20333</v>
      </c>
      <c r="E164" s="54">
        <f t="shared" si="122"/>
        <v>21333.35</v>
      </c>
      <c r="F164" s="54">
        <f t="shared" si="122"/>
        <v>23000.418</v>
      </c>
      <c r="G164" s="54">
        <f t="shared" si="122"/>
        <v>26132.94276</v>
      </c>
      <c r="H164" s="54">
        <f t="shared" si="122"/>
        <v>27133.72085</v>
      </c>
      <c r="I164" s="54">
        <f t="shared" si="122"/>
        <v>28031.99895</v>
      </c>
      <c r="J164" s="62">
        <f t="shared" si="5"/>
        <v>145965.4306</v>
      </c>
      <c r="K164" s="58">
        <v>1.0</v>
      </c>
      <c r="L164" s="37"/>
      <c r="M164" s="37"/>
      <c r="N164" s="37"/>
      <c r="O164" s="37"/>
      <c r="P164" s="37"/>
      <c r="Q164" s="37"/>
      <c r="R164" s="37"/>
    </row>
    <row r="165">
      <c r="A165" s="37"/>
      <c r="B165" s="37"/>
      <c r="C165" s="63" t="s">
        <v>192</v>
      </c>
      <c r="D165" s="59">
        <f t="shared" ref="D165:I165" si="123">D166-D164</f>
        <v>0.3333333333</v>
      </c>
      <c r="E165" s="59">
        <f t="shared" si="123"/>
        <v>-0.01666666667</v>
      </c>
      <c r="F165" s="59">
        <f t="shared" si="123"/>
        <v>-0.418</v>
      </c>
      <c r="G165" s="59">
        <f t="shared" si="123"/>
        <v>0.3905733333</v>
      </c>
      <c r="H165" s="59">
        <f t="shared" si="123"/>
        <v>-0.3875146667</v>
      </c>
      <c r="I165" s="59">
        <f t="shared" si="123"/>
        <v>1.334381685</v>
      </c>
      <c r="J165" s="37"/>
      <c r="K165" s="37"/>
      <c r="L165" s="37"/>
      <c r="M165" s="37"/>
      <c r="N165" s="37"/>
      <c r="O165" s="37"/>
      <c r="P165" s="37"/>
      <c r="Q165" s="37"/>
      <c r="R165" s="37"/>
    </row>
    <row r="166">
      <c r="A166" s="37"/>
      <c r="B166" s="37"/>
      <c r="C166" s="63" t="s">
        <v>193</v>
      </c>
      <c r="D166" s="59">
        <f t="shared" ref="D166:I166" si="124">D167/1.5</f>
        <v>20333.33333</v>
      </c>
      <c r="E166" s="59">
        <f t="shared" si="124"/>
        <v>21333.33333</v>
      </c>
      <c r="F166" s="59">
        <f t="shared" si="124"/>
        <v>23000</v>
      </c>
      <c r="G166" s="59">
        <f t="shared" si="124"/>
        <v>26133.33333</v>
      </c>
      <c r="H166" s="59">
        <f t="shared" si="124"/>
        <v>27133.33333</v>
      </c>
      <c r="I166" s="59">
        <f t="shared" si="124"/>
        <v>28033.33333</v>
      </c>
      <c r="J166" s="64">
        <f t="shared" ref="J166:J167" si="125">SUM(D166:I166)</f>
        <v>145966.6667</v>
      </c>
      <c r="K166" s="37"/>
      <c r="L166" s="37"/>
      <c r="M166" s="37"/>
      <c r="N166" s="37"/>
      <c r="O166" s="37"/>
      <c r="P166" s="37"/>
      <c r="Q166" s="37"/>
      <c r="R166" s="37"/>
    </row>
    <row r="167">
      <c r="A167" s="37"/>
      <c r="B167" s="37"/>
      <c r="C167" s="63" t="s">
        <v>194</v>
      </c>
      <c r="D167" s="19">
        <v>30500.0</v>
      </c>
      <c r="E167" s="19">
        <v>32000.0</v>
      </c>
      <c r="F167" s="19">
        <v>34500.0</v>
      </c>
      <c r="G167" s="19">
        <v>39200.0</v>
      </c>
      <c r="H167" s="19">
        <v>40700.0</v>
      </c>
      <c r="I167" s="19">
        <v>42050.0</v>
      </c>
      <c r="J167" s="64">
        <f t="shared" si="125"/>
        <v>218950</v>
      </c>
      <c r="K167" s="37"/>
      <c r="L167" s="37"/>
      <c r="M167" s="37"/>
      <c r="N167" s="37"/>
      <c r="O167" s="37"/>
      <c r="P167" s="37"/>
      <c r="Q167" s="37"/>
      <c r="R167" s="37"/>
    </row>
    <row r="168">
      <c r="A168" s="37"/>
      <c r="B168" s="37"/>
      <c r="C168" s="37"/>
      <c r="D168" s="37"/>
      <c r="E168" s="65"/>
      <c r="F168" s="65"/>
      <c r="G168" s="65"/>
      <c r="H168" s="65"/>
      <c r="I168" s="65"/>
      <c r="J168" s="37"/>
      <c r="K168" s="37"/>
      <c r="L168" s="37"/>
      <c r="M168" s="37"/>
      <c r="N168" s="37"/>
      <c r="O168" s="37"/>
      <c r="P168" s="37"/>
      <c r="Q168" s="37"/>
      <c r="R168" s="37"/>
    </row>
    <row r="169">
      <c r="A169" s="37"/>
      <c r="B169" s="37"/>
      <c r="C169" s="37"/>
      <c r="D169" s="37"/>
      <c r="E169" s="66"/>
      <c r="F169" s="66"/>
      <c r="G169" s="66"/>
      <c r="H169" s="66"/>
      <c r="I169" s="66"/>
      <c r="J169" s="37"/>
      <c r="K169" s="37"/>
      <c r="L169" s="37"/>
      <c r="M169" s="37"/>
      <c r="N169" s="37"/>
      <c r="O169" s="37"/>
      <c r="P169" s="37"/>
      <c r="Q169" s="37"/>
      <c r="R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</row>
    <row r="172">
      <c r="A172" s="37"/>
      <c r="B172" s="37"/>
      <c r="C172" s="37"/>
      <c r="D172" s="37"/>
      <c r="E172" s="37"/>
      <c r="F172" s="37"/>
      <c r="G172" s="37"/>
      <c r="H172" s="6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>
      <c r="A174" s="37"/>
      <c r="B174" s="37"/>
      <c r="C174" s="37"/>
      <c r="D174" s="68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14"/>
    <col customWidth="1" min="3" max="3" width="22.14"/>
  </cols>
  <sheetData>
    <row r="1">
      <c r="A1" s="52" t="s">
        <v>0</v>
      </c>
      <c r="B1" s="52" t="s">
        <v>1</v>
      </c>
      <c r="C1" s="53" t="s">
        <v>2</v>
      </c>
      <c r="D1" s="55">
        <v>46266.0</v>
      </c>
      <c r="E1" s="55">
        <v>46235.0</v>
      </c>
      <c r="F1" s="55">
        <v>46204.0</v>
      </c>
      <c r="G1" s="55">
        <v>46174.0</v>
      </c>
      <c r="H1" s="55">
        <v>46143.0</v>
      </c>
      <c r="I1" s="55">
        <v>46113.0</v>
      </c>
      <c r="J1" s="52" t="s">
        <v>5</v>
      </c>
    </row>
    <row r="2">
      <c r="A2" s="57" t="s">
        <v>6</v>
      </c>
      <c r="B2" s="57" t="s">
        <v>7</v>
      </c>
      <c r="C2" s="57" t="s">
        <v>13</v>
      </c>
      <c r="D2" s="57">
        <v>492.0</v>
      </c>
      <c r="E2" s="57">
        <v>355.0</v>
      </c>
      <c r="F2" s="57">
        <v>301.0</v>
      </c>
      <c r="G2" s="57">
        <v>264.0</v>
      </c>
      <c r="H2" s="57">
        <v>309.0</v>
      </c>
      <c r="I2" s="57">
        <v>259.0</v>
      </c>
      <c r="J2" s="57">
        <v>1980.0</v>
      </c>
    </row>
    <row r="3">
      <c r="A3" s="57" t="s">
        <v>6</v>
      </c>
      <c r="B3" s="57" t="s">
        <v>7</v>
      </c>
      <c r="C3" s="57" t="s">
        <v>11</v>
      </c>
      <c r="D3" s="57">
        <v>442.0</v>
      </c>
      <c r="E3" s="57">
        <v>397.0</v>
      </c>
      <c r="F3" s="57">
        <v>332.0</v>
      </c>
      <c r="G3" s="57">
        <v>239.0</v>
      </c>
      <c r="H3" s="57">
        <v>252.0</v>
      </c>
      <c r="I3" s="57">
        <v>232.0</v>
      </c>
      <c r="J3" s="57">
        <v>1894.0</v>
      </c>
    </row>
    <row r="4">
      <c r="A4" s="57" t="s">
        <v>6</v>
      </c>
      <c r="B4" s="57" t="s">
        <v>7</v>
      </c>
      <c r="C4" s="57" t="s">
        <v>18</v>
      </c>
      <c r="D4" s="57">
        <v>393.0</v>
      </c>
      <c r="E4" s="57">
        <v>297.0</v>
      </c>
      <c r="F4" s="57">
        <v>225.0</v>
      </c>
      <c r="G4" s="57">
        <v>199.0</v>
      </c>
      <c r="H4" s="57">
        <v>238.0</v>
      </c>
      <c r="I4" s="57">
        <v>220.0</v>
      </c>
      <c r="J4" s="57">
        <v>1572.0</v>
      </c>
    </row>
    <row r="5">
      <c r="A5" s="57" t="s">
        <v>6</v>
      </c>
      <c r="B5" s="57" t="s">
        <v>7</v>
      </c>
      <c r="C5" s="57" t="s">
        <v>14</v>
      </c>
      <c r="D5" s="57">
        <v>370.0</v>
      </c>
      <c r="E5" s="57">
        <v>293.0</v>
      </c>
      <c r="F5" s="57">
        <v>232.0</v>
      </c>
      <c r="G5" s="57">
        <v>208.0</v>
      </c>
      <c r="H5" s="57">
        <v>249.0</v>
      </c>
      <c r="I5" s="57">
        <v>206.0</v>
      </c>
      <c r="J5" s="57">
        <v>1558.0</v>
      </c>
    </row>
    <row r="6">
      <c r="A6" s="57" t="s">
        <v>6</v>
      </c>
      <c r="B6" s="57" t="s">
        <v>7</v>
      </c>
      <c r="C6" s="57" t="s">
        <v>12</v>
      </c>
      <c r="D6" s="57">
        <v>355.0</v>
      </c>
      <c r="E6" s="57">
        <v>289.0</v>
      </c>
      <c r="F6" s="57">
        <v>265.0</v>
      </c>
      <c r="G6" s="57">
        <v>205.0</v>
      </c>
      <c r="H6" s="57">
        <v>234.0</v>
      </c>
      <c r="I6" s="57">
        <v>181.0</v>
      </c>
      <c r="J6" s="57">
        <v>1529.0</v>
      </c>
    </row>
    <row r="7">
      <c r="A7" s="57" t="s">
        <v>6</v>
      </c>
      <c r="B7" s="57" t="s">
        <v>7</v>
      </c>
      <c r="C7" s="57" t="s">
        <v>17</v>
      </c>
      <c r="D7" s="57">
        <v>321.0</v>
      </c>
      <c r="E7" s="57">
        <v>267.0</v>
      </c>
      <c r="F7" s="57">
        <v>214.0</v>
      </c>
      <c r="G7" s="57">
        <v>196.0</v>
      </c>
      <c r="H7" s="57">
        <v>177.0</v>
      </c>
      <c r="I7" s="57">
        <v>132.0</v>
      </c>
      <c r="J7" s="57">
        <v>1307.0</v>
      </c>
    </row>
    <row r="8">
      <c r="A8" s="57" t="s">
        <v>6</v>
      </c>
      <c r="B8" s="57" t="s">
        <v>7</v>
      </c>
      <c r="C8" s="57" t="s">
        <v>15</v>
      </c>
      <c r="D8" s="57">
        <v>298.0</v>
      </c>
      <c r="E8" s="57">
        <v>295.0</v>
      </c>
      <c r="F8" s="57">
        <v>221.0</v>
      </c>
      <c r="G8" s="57">
        <v>177.0</v>
      </c>
      <c r="H8" s="57">
        <v>139.0</v>
      </c>
      <c r="I8" s="57">
        <v>133.0</v>
      </c>
      <c r="J8" s="57">
        <v>1263.0</v>
      </c>
    </row>
    <row r="9">
      <c r="A9" s="57" t="s">
        <v>6</v>
      </c>
      <c r="B9" s="57" t="s">
        <v>7</v>
      </c>
      <c r="C9" s="57" t="s">
        <v>10</v>
      </c>
      <c r="D9" s="57">
        <v>278.0</v>
      </c>
      <c r="E9" s="57">
        <v>206.0</v>
      </c>
      <c r="F9" s="57">
        <v>173.0</v>
      </c>
      <c r="G9" s="57">
        <v>139.0</v>
      </c>
      <c r="H9" s="57">
        <v>149.0</v>
      </c>
      <c r="I9" s="57">
        <v>113.0</v>
      </c>
      <c r="J9" s="57">
        <v>1058.0</v>
      </c>
    </row>
    <row r="10">
      <c r="A10" s="57" t="s">
        <v>6</v>
      </c>
      <c r="B10" s="57" t="s">
        <v>7</v>
      </c>
      <c r="C10" s="57" t="s">
        <v>19</v>
      </c>
      <c r="D10" s="57">
        <v>265.0</v>
      </c>
      <c r="E10" s="57">
        <v>227.0</v>
      </c>
      <c r="F10" s="57">
        <v>144.0</v>
      </c>
      <c r="G10" s="57">
        <v>136.0</v>
      </c>
      <c r="H10" s="57">
        <v>133.0</v>
      </c>
      <c r="I10" s="57">
        <v>87.0</v>
      </c>
      <c r="J10" s="57">
        <v>992.0</v>
      </c>
    </row>
    <row r="11">
      <c r="A11" s="57" t="s">
        <v>6</v>
      </c>
      <c r="B11" s="57" t="s">
        <v>7</v>
      </c>
      <c r="C11" s="57" t="s">
        <v>20</v>
      </c>
      <c r="D11" s="57">
        <v>170.0</v>
      </c>
      <c r="E11" s="57">
        <v>168.0</v>
      </c>
      <c r="F11" s="57">
        <v>153.0</v>
      </c>
      <c r="G11" s="57">
        <v>159.0</v>
      </c>
      <c r="H11" s="57">
        <v>173.0</v>
      </c>
      <c r="I11" s="57">
        <v>155.0</v>
      </c>
      <c r="J11" s="57">
        <v>978.0</v>
      </c>
    </row>
    <row r="12">
      <c r="A12" s="57" t="s">
        <v>6</v>
      </c>
      <c r="B12" s="57" t="s">
        <v>7</v>
      </c>
      <c r="C12" s="57" t="s">
        <v>22</v>
      </c>
      <c r="D12" s="57">
        <v>255.0</v>
      </c>
      <c r="E12" s="57">
        <v>165.0</v>
      </c>
      <c r="F12" s="57">
        <v>113.0</v>
      </c>
      <c r="G12" s="57">
        <v>95.0</v>
      </c>
      <c r="H12" s="57">
        <v>87.0</v>
      </c>
      <c r="I12" s="57">
        <v>92.0</v>
      </c>
      <c r="J12" s="57">
        <v>807.0</v>
      </c>
    </row>
    <row r="13">
      <c r="A13" s="57" t="s">
        <v>6</v>
      </c>
      <c r="B13" s="57" t="s">
        <v>7</v>
      </c>
      <c r="C13" s="57" t="s">
        <v>21</v>
      </c>
      <c r="D13" s="57">
        <v>173.0</v>
      </c>
      <c r="E13" s="57">
        <v>136.0</v>
      </c>
      <c r="F13" s="57">
        <v>118.0</v>
      </c>
      <c r="G13" s="57">
        <v>94.0</v>
      </c>
      <c r="H13" s="57">
        <v>61.0</v>
      </c>
      <c r="I13" s="57">
        <v>68.0</v>
      </c>
      <c r="J13" s="57">
        <v>650.0</v>
      </c>
    </row>
    <row r="14">
      <c r="A14" s="57" t="s">
        <v>6</v>
      </c>
      <c r="B14" s="57" t="s">
        <v>7</v>
      </c>
      <c r="C14" s="57" t="s">
        <v>23</v>
      </c>
      <c r="D14" s="57">
        <v>158.0</v>
      </c>
      <c r="E14" s="57">
        <v>111.0</v>
      </c>
      <c r="F14" s="57">
        <v>65.0</v>
      </c>
      <c r="G14" s="57">
        <v>46.0</v>
      </c>
      <c r="H14" s="57">
        <v>63.0</v>
      </c>
      <c r="I14" s="57">
        <v>50.0</v>
      </c>
      <c r="J14" s="57">
        <v>493.0</v>
      </c>
    </row>
    <row r="15">
      <c r="A15" s="57" t="s">
        <v>6</v>
      </c>
      <c r="B15" s="57" t="s">
        <v>7</v>
      </c>
      <c r="C15" s="57" t="s">
        <v>8</v>
      </c>
      <c r="D15" s="57">
        <v>84.0</v>
      </c>
      <c r="E15" s="57">
        <v>87.0</v>
      </c>
      <c r="F15" s="57">
        <v>86.0</v>
      </c>
      <c r="G15" s="57">
        <v>64.0</v>
      </c>
      <c r="H15" s="57">
        <v>84.0</v>
      </c>
      <c r="I15" s="57">
        <v>34.0</v>
      </c>
      <c r="J15" s="57">
        <v>439.0</v>
      </c>
    </row>
    <row r="16">
      <c r="A16" s="57" t="s">
        <v>6</v>
      </c>
      <c r="B16" s="57" t="s">
        <v>24</v>
      </c>
      <c r="C16" s="57" t="s">
        <v>25</v>
      </c>
      <c r="D16" s="57">
        <v>246.0</v>
      </c>
      <c r="E16" s="57">
        <v>228.0</v>
      </c>
      <c r="F16" s="57">
        <v>185.0</v>
      </c>
      <c r="G16" s="57">
        <v>120.0</v>
      </c>
      <c r="H16" s="57">
        <v>124.0</v>
      </c>
      <c r="I16" s="57">
        <v>119.0</v>
      </c>
      <c r="J16" s="57">
        <v>1022.0</v>
      </c>
    </row>
    <row r="17">
      <c r="A17" s="57" t="s">
        <v>6</v>
      </c>
      <c r="B17" s="57" t="s">
        <v>24</v>
      </c>
      <c r="C17" s="57" t="s">
        <v>27</v>
      </c>
      <c r="D17" s="57">
        <v>139.0</v>
      </c>
      <c r="E17" s="57">
        <v>148.0</v>
      </c>
      <c r="F17" s="57">
        <v>111.0</v>
      </c>
      <c r="G17" s="57">
        <v>97.0</v>
      </c>
      <c r="H17" s="57">
        <v>89.0</v>
      </c>
      <c r="I17" s="57">
        <v>64.0</v>
      </c>
      <c r="J17" s="57">
        <v>648.0</v>
      </c>
    </row>
    <row r="18">
      <c r="A18" s="57" t="s">
        <v>6</v>
      </c>
      <c r="B18" s="57" t="s">
        <v>24</v>
      </c>
      <c r="C18" s="57" t="s">
        <v>28</v>
      </c>
      <c r="D18" s="57">
        <v>106.0</v>
      </c>
      <c r="E18" s="57">
        <v>105.0</v>
      </c>
      <c r="F18" s="57">
        <v>124.0</v>
      </c>
      <c r="G18" s="57">
        <v>80.0</v>
      </c>
      <c r="H18" s="57">
        <v>105.0</v>
      </c>
      <c r="I18" s="57">
        <v>89.0</v>
      </c>
      <c r="J18" s="57">
        <v>609.0</v>
      </c>
    </row>
    <row r="19">
      <c r="A19" s="57" t="s">
        <v>6</v>
      </c>
      <c r="B19" s="57" t="s">
        <v>24</v>
      </c>
      <c r="C19" s="57" t="s">
        <v>26</v>
      </c>
      <c r="D19" s="57">
        <v>108.0</v>
      </c>
      <c r="E19" s="57">
        <v>118.0</v>
      </c>
      <c r="F19" s="57">
        <v>99.0</v>
      </c>
      <c r="G19" s="57">
        <v>57.0</v>
      </c>
      <c r="H19" s="57">
        <v>56.0</v>
      </c>
      <c r="I19" s="57">
        <v>69.0</v>
      </c>
      <c r="J19" s="57">
        <v>507.0</v>
      </c>
    </row>
    <row r="20">
      <c r="A20" s="57" t="s">
        <v>6</v>
      </c>
      <c r="B20" s="57" t="s">
        <v>24</v>
      </c>
      <c r="C20" s="57" t="s">
        <v>31</v>
      </c>
      <c r="D20" s="57">
        <v>109.0</v>
      </c>
      <c r="E20" s="57">
        <v>103.0</v>
      </c>
      <c r="F20" s="57">
        <v>88.0</v>
      </c>
      <c r="G20" s="57">
        <v>69.0</v>
      </c>
      <c r="H20" s="57">
        <v>67.0</v>
      </c>
      <c r="I20" s="57">
        <v>67.0</v>
      </c>
      <c r="J20" s="57">
        <v>503.0</v>
      </c>
    </row>
    <row r="21">
      <c r="A21" s="57" t="s">
        <v>6</v>
      </c>
      <c r="B21" s="57" t="s">
        <v>24</v>
      </c>
      <c r="C21" s="57" t="s">
        <v>30</v>
      </c>
      <c r="D21" s="57">
        <v>59.0</v>
      </c>
      <c r="E21" s="57">
        <v>78.0</v>
      </c>
      <c r="F21" s="57">
        <v>103.0</v>
      </c>
      <c r="G21" s="57">
        <v>70.0</v>
      </c>
      <c r="H21" s="57">
        <v>63.0</v>
      </c>
      <c r="I21" s="57">
        <v>73.0</v>
      </c>
      <c r="J21" s="57">
        <v>446.0</v>
      </c>
    </row>
    <row r="22">
      <c r="A22" s="57" t="s">
        <v>6</v>
      </c>
      <c r="B22" s="57" t="s">
        <v>24</v>
      </c>
      <c r="C22" s="57" t="s">
        <v>32</v>
      </c>
      <c r="D22" s="57">
        <v>110.0</v>
      </c>
      <c r="E22" s="57">
        <v>100.0</v>
      </c>
      <c r="F22" s="57">
        <v>99.0</v>
      </c>
      <c r="G22" s="57">
        <v>45.0</v>
      </c>
      <c r="H22" s="57">
        <v>45.0</v>
      </c>
      <c r="I22" s="57">
        <v>39.0</v>
      </c>
      <c r="J22" s="57">
        <v>438.0</v>
      </c>
    </row>
    <row r="23">
      <c r="A23" s="57" t="s">
        <v>6</v>
      </c>
      <c r="B23" s="57" t="s">
        <v>24</v>
      </c>
      <c r="C23" s="57" t="s">
        <v>33</v>
      </c>
      <c r="D23" s="57">
        <v>29.0</v>
      </c>
      <c r="E23" s="57">
        <v>32.0</v>
      </c>
      <c r="F23" s="57">
        <v>24.0</v>
      </c>
      <c r="G23" s="57">
        <v>0.0</v>
      </c>
      <c r="H23" s="57">
        <v>0.0</v>
      </c>
      <c r="I23" s="57">
        <v>0.0</v>
      </c>
      <c r="J23" s="57">
        <v>85.0</v>
      </c>
    </row>
    <row r="24">
      <c r="A24" s="57" t="s">
        <v>6</v>
      </c>
      <c r="B24" s="57" t="s">
        <v>24</v>
      </c>
      <c r="C24" s="57" t="s">
        <v>34</v>
      </c>
      <c r="D24" s="57">
        <v>52.0</v>
      </c>
      <c r="E24" s="57">
        <v>25.0</v>
      </c>
      <c r="F24" s="57">
        <v>0.0</v>
      </c>
      <c r="G24" s="57">
        <v>0.0</v>
      </c>
      <c r="H24" s="57">
        <v>0.0</v>
      </c>
      <c r="I24" s="57">
        <v>0.0</v>
      </c>
      <c r="J24" s="57">
        <v>77.0</v>
      </c>
    </row>
    <row r="25">
      <c r="A25" s="57" t="s">
        <v>6</v>
      </c>
      <c r="B25" s="57" t="s">
        <v>35</v>
      </c>
      <c r="C25" s="57" t="s">
        <v>36</v>
      </c>
      <c r="D25" s="57">
        <v>313.0</v>
      </c>
      <c r="E25" s="57">
        <v>268.0</v>
      </c>
      <c r="F25" s="57">
        <v>273.0</v>
      </c>
      <c r="G25" s="57">
        <v>208.0</v>
      </c>
      <c r="H25" s="57">
        <v>243.0</v>
      </c>
      <c r="I25" s="57">
        <v>165.0</v>
      </c>
      <c r="J25" s="57">
        <v>1470.0</v>
      </c>
    </row>
    <row r="26">
      <c r="A26" s="57" t="s">
        <v>6</v>
      </c>
      <c r="B26" s="57" t="s">
        <v>35</v>
      </c>
      <c r="C26" s="57" t="s">
        <v>39</v>
      </c>
      <c r="D26" s="57">
        <v>232.0</v>
      </c>
      <c r="E26" s="57">
        <v>218.0</v>
      </c>
      <c r="F26" s="57">
        <v>206.0</v>
      </c>
      <c r="G26" s="57">
        <v>162.0</v>
      </c>
      <c r="H26" s="57">
        <v>192.0</v>
      </c>
      <c r="I26" s="57">
        <v>177.0</v>
      </c>
      <c r="J26" s="57">
        <v>1187.0</v>
      </c>
    </row>
    <row r="27">
      <c r="A27" s="57" t="s">
        <v>6</v>
      </c>
      <c r="B27" s="57" t="s">
        <v>35</v>
      </c>
      <c r="C27" s="57" t="s">
        <v>38</v>
      </c>
      <c r="D27" s="57">
        <v>206.0</v>
      </c>
      <c r="E27" s="57">
        <v>181.0</v>
      </c>
      <c r="F27" s="57">
        <v>198.0</v>
      </c>
      <c r="G27" s="57">
        <v>157.0</v>
      </c>
      <c r="H27" s="57">
        <v>125.0</v>
      </c>
      <c r="I27" s="57">
        <v>94.0</v>
      </c>
      <c r="J27" s="57">
        <v>961.0</v>
      </c>
    </row>
    <row r="28">
      <c r="A28" s="57" t="s">
        <v>6</v>
      </c>
      <c r="B28" s="57" t="s">
        <v>35</v>
      </c>
      <c r="C28" s="57" t="s">
        <v>45</v>
      </c>
      <c r="D28" s="57">
        <v>190.0</v>
      </c>
      <c r="E28" s="57">
        <v>158.0</v>
      </c>
      <c r="F28" s="57">
        <v>207.0</v>
      </c>
      <c r="G28" s="57">
        <v>164.0</v>
      </c>
      <c r="H28" s="57">
        <v>137.0</v>
      </c>
      <c r="I28" s="57">
        <v>86.0</v>
      </c>
      <c r="J28" s="57">
        <v>942.0</v>
      </c>
    </row>
    <row r="29">
      <c r="A29" s="57" t="s">
        <v>6</v>
      </c>
      <c r="B29" s="57" t="s">
        <v>35</v>
      </c>
      <c r="C29" s="57" t="s">
        <v>43</v>
      </c>
      <c r="D29" s="57">
        <v>210.0</v>
      </c>
      <c r="E29" s="57">
        <v>196.0</v>
      </c>
      <c r="F29" s="57">
        <v>174.0</v>
      </c>
      <c r="G29" s="57">
        <v>118.0</v>
      </c>
      <c r="H29" s="57">
        <v>115.0</v>
      </c>
      <c r="I29" s="57">
        <v>89.0</v>
      </c>
      <c r="J29" s="57">
        <v>902.0</v>
      </c>
    </row>
    <row r="30">
      <c r="A30" s="57" t="s">
        <v>6</v>
      </c>
      <c r="B30" s="57" t="s">
        <v>35</v>
      </c>
      <c r="C30" s="57" t="s">
        <v>37</v>
      </c>
      <c r="D30" s="57">
        <v>133.0</v>
      </c>
      <c r="E30" s="57">
        <v>141.0</v>
      </c>
      <c r="F30" s="57">
        <v>165.0</v>
      </c>
      <c r="G30" s="57">
        <v>128.0</v>
      </c>
      <c r="H30" s="57">
        <v>141.0</v>
      </c>
      <c r="I30" s="57">
        <v>112.0</v>
      </c>
      <c r="J30" s="57">
        <v>820.0</v>
      </c>
    </row>
    <row r="31">
      <c r="A31" s="57" t="s">
        <v>6</v>
      </c>
      <c r="B31" s="57" t="s">
        <v>35</v>
      </c>
      <c r="C31" s="57" t="s">
        <v>40</v>
      </c>
      <c r="D31" s="57">
        <v>104.0</v>
      </c>
      <c r="E31" s="57">
        <v>85.0</v>
      </c>
      <c r="F31" s="57">
        <v>142.0</v>
      </c>
      <c r="G31" s="57">
        <v>119.0</v>
      </c>
      <c r="H31" s="57">
        <v>132.0</v>
      </c>
      <c r="I31" s="57">
        <v>128.0</v>
      </c>
      <c r="J31" s="57">
        <v>710.0</v>
      </c>
    </row>
    <row r="32">
      <c r="A32" s="57" t="s">
        <v>6</v>
      </c>
      <c r="B32" s="57" t="s">
        <v>35</v>
      </c>
      <c r="C32" s="57" t="s">
        <v>48</v>
      </c>
      <c r="D32" s="57">
        <v>143.0</v>
      </c>
      <c r="E32" s="57">
        <v>108.0</v>
      </c>
      <c r="F32" s="57">
        <v>104.0</v>
      </c>
      <c r="G32" s="57">
        <v>106.0</v>
      </c>
      <c r="H32" s="57">
        <v>124.0</v>
      </c>
      <c r="I32" s="57">
        <v>94.0</v>
      </c>
      <c r="J32" s="57">
        <v>679.0</v>
      </c>
    </row>
    <row r="33">
      <c r="A33" s="57" t="s">
        <v>6</v>
      </c>
      <c r="B33" s="57" t="s">
        <v>35</v>
      </c>
      <c r="C33" s="57" t="s">
        <v>44</v>
      </c>
      <c r="D33" s="57">
        <v>114.0</v>
      </c>
      <c r="E33" s="57">
        <v>111.0</v>
      </c>
      <c r="F33" s="57">
        <v>101.0</v>
      </c>
      <c r="G33" s="57">
        <v>124.0</v>
      </c>
      <c r="H33" s="57">
        <v>136.0</v>
      </c>
      <c r="I33" s="57">
        <v>88.0</v>
      </c>
      <c r="J33" s="57">
        <v>674.0</v>
      </c>
    </row>
    <row r="34">
      <c r="A34" s="57" t="s">
        <v>6</v>
      </c>
      <c r="B34" s="57" t="s">
        <v>35</v>
      </c>
      <c r="C34" s="57" t="s">
        <v>42</v>
      </c>
      <c r="D34" s="57">
        <v>73.0</v>
      </c>
      <c r="E34" s="57">
        <v>70.0</v>
      </c>
      <c r="F34" s="57">
        <v>102.0</v>
      </c>
      <c r="G34" s="57">
        <v>88.0</v>
      </c>
      <c r="H34" s="57">
        <v>97.0</v>
      </c>
      <c r="I34" s="57">
        <v>70.0</v>
      </c>
      <c r="J34" s="57">
        <v>500.0</v>
      </c>
    </row>
    <row r="35">
      <c r="A35" s="57" t="s">
        <v>6</v>
      </c>
      <c r="B35" s="57" t="s">
        <v>35</v>
      </c>
      <c r="C35" s="57" t="s">
        <v>41</v>
      </c>
      <c r="D35" s="57">
        <v>83.0</v>
      </c>
      <c r="E35" s="57">
        <v>84.0</v>
      </c>
      <c r="F35" s="57">
        <v>111.0</v>
      </c>
      <c r="G35" s="57">
        <v>79.0</v>
      </c>
      <c r="H35" s="57">
        <v>63.0</v>
      </c>
      <c r="I35" s="57">
        <v>65.0</v>
      </c>
      <c r="J35" s="57">
        <v>485.0</v>
      </c>
    </row>
    <row r="36">
      <c r="A36" s="57" t="s">
        <v>6</v>
      </c>
      <c r="B36" s="57" t="s">
        <v>35</v>
      </c>
      <c r="C36" s="57" t="s">
        <v>47</v>
      </c>
      <c r="D36" s="57">
        <v>51.0</v>
      </c>
      <c r="E36" s="57">
        <v>53.0</v>
      </c>
      <c r="F36" s="57">
        <v>69.0</v>
      </c>
      <c r="G36" s="57">
        <v>33.0</v>
      </c>
      <c r="H36" s="57">
        <v>39.0</v>
      </c>
      <c r="I36" s="57">
        <v>28.0</v>
      </c>
      <c r="J36" s="57">
        <v>273.0</v>
      </c>
    </row>
    <row r="37">
      <c r="A37" s="57" t="s">
        <v>6</v>
      </c>
      <c r="B37" s="57" t="s">
        <v>35</v>
      </c>
      <c r="C37" s="57" t="s">
        <v>49</v>
      </c>
      <c r="D37" s="57">
        <v>79.0</v>
      </c>
      <c r="E37" s="57">
        <v>18.0</v>
      </c>
      <c r="F37" s="57">
        <v>0.0</v>
      </c>
      <c r="G37" s="57">
        <v>0.0</v>
      </c>
      <c r="H37" s="57">
        <v>0.0</v>
      </c>
      <c r="I37" s="57">
        <v>0.0</v>
      </c>
      <c r="J37" s="57">
        <v>97.0</v>
      </c>
    </row>
    <row r="38">
      <c r="A38" s="57" t="s">
        <v>50</v>
      </c>
      <c r="B38" s="57" t="s">
        <v>50</v>
      </c>
      <c r="C38" s="57" t="s">
        <v>55</v>
      </c>
      <c r="D38" s="57">
        <v>254.0</v>
      </c>
      <c r="E38" s="57">
        <v>149.0</v>
      </c>
      <c r="F38" s="57">
        <v>172.0</v>
      </c>
      <c r="G38" s="57">
        <v>147.0</v>
      </c>
      <c r="H38" s="57">
        <v>181.0</v>
      </c>
      <c r="I38" s="57">
        <v>153.0</v>
      </c>
      <c r="J38" s="57">
        <v>1056.0</v>
      </c>
    </row>
    <row r="39">
      <c r="A39" s="57" t="s">
        <v>50</v>
      </c>
      <c r="B39" s="57" t="s">
        <v>50</v>
      </c>
      <c r="C39" s="57" t="s">
        <v>51</v>
      </c>
      <c r="D39" s="57">
        <v>241.0</v>
      </c>
      <c r="E39" s="57">
        <v>188.0</v>
      </c>
      <c r="F39" s="57">
        <v>185.0</v>
      </c>
      <c r="G39" s="57">
        <v>146.0</v>
      </c>
      <c r="H39" s="57">
        <v>156.0</v>
      </c>
      <c r="I39" s="57">
        <v>138.0</v>
      </c>
      <c r="J39" s="57">
        <v>1054.0</v>
      </c>
    </row>
    <row r="40">
      <c r="A40" s="57" t="s">
        <v>50</v>
      </c>
      <c r="B40" s="57" t="s">
        <v>50</v>
      </c>
      <c r="C40" s="57" t="s">
        <v>52</v>
      </c>
      <c r="D40" s="57">
        <v>217.0</v>
      </c>
      <c r="E40" s="57">
        <v>138.0</v>
      </c>
      <c r="F40" s="57">
        <v>141.0</v>
      </c>
      <c r="G40" s="57">
        <v>135.0</v>
      </c>
      <c r="H40" s="57">
        <v>92.0</v>
      </c>
      <c r="I40" s="57">
        <v>89.0</v>
      </c>
      <c r="J40" s="57">
        <v>812.0</v>
      </c>
    </row>
    <row r="41">
      <c r="A41" s="57" t="s">
        <v>50</v>
      </c>
      <c r="B41" s="57" t="s">
        <v>50</v>
      </c>
      <c r="C41" s="57" t="s">
        <v>54</v>
      </c>
      <c r="D41" s="57">
        <v>127.0</v>
      </c>
      <c r="E41" s="57">
        <v>104.0</v>
      </c>
      <c r="F41" s="57">
        <v>110.0</v>
      </c>
      <c r="G41" s="57">
        <v>95.0</v>
      </c>
      <c r="H41" s="57">
        <v>127.0</v>
      </c>
      <c r="I41" s="57">
        <v>107.0</v>
      </c>
      <c r="J41" s="57">
        <v>670.0</v>
      </c>
    </row>
    <row r="42">
      <c r="A42" s="57" t="s">
        <v>50</v>
      </c>
      <c r="B42" s="57" t="s">
        <v>50</v>
      </c>
      <c r="C42" s="57" t="s">
        <v>53</v>
      </c>
      <c r="D42" s="57">
        <v>191.0</v>
      </c>
      <c r="E42" s="57">
        <v>120.0</v>
      </c>
      <c r="F42" s="57">
        <v>116.0</v>
      </c>
      <c r="G42" s="57">
        <v>76.0</v>
      </c>
      <c r="H42" s="57">
        <v>75.0</v>
      </c>
      <c r="I42" s="57">
        <v>82.0</v>
      </c>
      <c r="J42" s="57">
        <v>660.0</v>
      </c>
    </row>
    <row r="43">
      <c r="A43" s="57" t="s">
        <v>50</v>
      </c>
      <c r="B43" s="57" t="s">
        <v>50</v>
      </c>
      <c r="C43" s="57" t="s">
        <v>58</v>
      </c>
      <c r="D43" s="57">
        <v>176.0</v>
      </c>
      <c r="E43" s="57">
        <v>106.0</v>
      </c>
      <c r="F43" s="57">
        <v>111.0</v>
      </c>
      <c r="G43" s="57">
        <v>70.0</v>
      </c>
      <c r="H43" s="57">
        <v>86.0</v>
      </c>
      <c r="I43" s="57">
        <v>68.0</v>
      </c>
      <c r="J43" s="57">
        <v>617.0</v>
      </c>
    </row>
    <row r="44">
      <c r="A44" s="57" t="s">
        <v>50</v>
      </c>
      <c r="B44" s="57" t="s">
        <v>50</v>
      </c>
      <c r="C44" s="57" t="s">
        <v>56</v>
      </c>
      <c r="D44" s="57">
        <v>129.0</v>
      </c>
      <c r="E44" s="57">
        <v>98.0</v>
      </c>
      <c r="F44" s="57">
        <v>99.0</v>
      </c>
      <c r="G44" s="57">
        <v>85.0</v>
      </c>
      <c r="H44" s="57">
        <v>69.0</v>
      </c>
      <c r="I44" s="57">
        <v>69.0</v>
      </c>
      <c r="J44" s="57">
        <v>549.0</v>
      </c>
    </row>
    <row r="45">
      <c r="A45" s="57" t="s">
        <v>50</v>
      </c>
      <c r="B45" s="57" t="s">
        <v>50</v>
      </c>
      <c r="C45" s="57" t="s">
        <v>57</v>
      </c>
      <c r="D45" s="57">
        <v>117.0</v>
      </c>
      <c r="E45" s="57">
        <v>73.0</v>
      </c>
      <c r="F45" s="57">
        <v>102.0</v>
      </c>
      <c r="G45" s="57">
        <v>84.0</v>
      </c>
      <c r="H45" s="57">
        <v>82.0</v>
      </c>
      <c r="I45" s="57">
        <v>51.0</v>
      </c>
      <c r="J45" s="57">
        <v>509.0</v>
      </c>
    </row>
    <row r="46">
      <c r="A46" s="57" t="s">
        <v>50</v>
      </c>
      <c r="B46" s="57" t="s">
        <v>59</v>
      </c>
      <c r="C46" s="57" t="s">
        <v>61</v>
      </c>
      <c r="D46" s="57">
        <v>254.0</v>
      </c>
      <c r="E46" s="57">
        <v>207.0</v>
      </c>
      <c r="F46" s="57">
        <v>206.0</v>
      </c>
      <c r="G46" s="57">
        <v>234.0</v>
      </c>
      <c r="H46" s="57">
        <v>251.0</v>
      </c>
      <c r="I46" s="57">
        <v>217.0</v>
      </c>
      <c r="J46" s="57">
        <v>1369.0</v>
      </c>
    </row>
    <row r="47">
      <c r="A47" s="57" t="s">
        <v>50</v>
      </c>
      <c r="B47" s="57" t="s">
        <v>59</v>
      </c>
      <c r="C47" s="57" t="s">
        <v>63</v>
      </c>
      <c r="D47" s="57">
        <v>302.0</v>
      </c>
      <c r="E47" s="57">
        <v>204.0</v>
      </c>
      <c r="F47" s="57">
        <v>223.0</v>
      </c>
      <c r="G47" s="57">
        <v>158.0</v>
      </c>
      <c r="H47" s="57">
        <v>179.0</v>
      </c>
      <c r="I47" s="57">
        <v>166.0</v>
      </c>
      <c r="J47" s="57">
        <v>1232.0</v>
      </c>
    </row>
    <row r="48">
      <c r="A48" s="57" t="s">
        <v>50</v>
      </c>
      <c r="B48" s="57" t="s">
        <v>59</v>
      </c>
      <c r="C48" s="57" t="s">
        <v>62</v>
      </c>
      <c r="D48" s="57">
        <v>168.0</v>
      </c>
      <c r="E48" s="57">
        <v>134.0</v>
      </c>
      <c r="F48" s="57">
        <v>112.0</v>
      </c>
      <c r="G48" s="57">
        <v>138.0</v>
      </c>
      <c r="H48" s="57">
        <v>135.0</v>
      </c>
      <c r="I48" s="57">
        <v>84.0</v>
      </c>
      <c r="J48" s="57">
        <v>771.0</v>
      </c>
    </row>
    <row r="49">
      <c r="A49" s="57" t="s">
        <v>50</v>
      </c>
      <c r="B49" s="57" t="s">
        <v>59</v>
      </c>
      <c r="C49" s="57" t="s">
        <v>65</v>
      </c>
      <c r="D49" s="57">
        <v>166.0</v>
      </c>
      <c r="E49" s="57">
        <v>111.0</v>
      </c>
      <c r="F49" s="57">
        <v>115.0</v>
      </c>
      <c r="G49" s="57">
        <v>88.0</v>
      </c>
      <c r="H49" s="57">
        <v>86.0</v>
      </c>
      <c r="I49" s="57">
        <v>54.0</v>
      </c>
      <c r="J49" s="57">
        <v>620.0</v>
      </c>
    </row>
    <row r="50">
      <c r="A50" s="57" t="s">
        <v>50</v>
      </c>
      <c r="B50" s="57" t="s">
        <v>59</v>
      </c>
      <c r="C50" s="57" t="s">
        <v>66</v>
      </c>
      <c r="D50" s="57">
        <v>148.0</v>
      </c>
      <c r="E50" s="57">
        <v>104.0</v>
      </c>
      <c r="F50" s="57">
        <v>97.0</v>
      </c>
      <c r="G50" s="57">
        <v>73.0</v>
      </c>
      <c r="H50" s="57">
        <v>61.0</v>
      </c>
      <c r="I50" s="57">
        <v>48.0</v>
      </c>
      <c r="J50" s="57">
        <v>531.0</v>
      </c>
    </row>
    <row r="51">
      <c r="A51" s="57" t="s">
        <v>50</v>
      </c>
      <c r="B51" s="57" t="s">
        <v>59</v>
      </c>
      <c r="C51" s="57" t="s">
        <v>67</v>
      </c>
      <c r="D51" s="57">
        <v>15.0</v>
      </c>
      <c r="E51" s="57">
        <v>0.0</v>
      </c>
      <c r="F51" s="57">
        <v>0.0</v>
      </c>
      <c r="G51" s="57">
        <v>0.0</v>
      </c>
      <c r="H51" s="57">
        <v>0.0</v>
      </c>
      <c r="I51" s="57">
        <v>0.0</v>
      </c>
      <c r="J51" s="57">
        <v>15.0</v>
      </c>
    </row>
    <row r="52">
      <c r="A52" s="57" t="s">
        <v>50</v>
      </c>
      <c r="B52" s="57" t="s">
        <v>68</v>
      </c>
      <c r="C52" s="57" t="s">
        <v>69</v>
      </c>
      <c r="D52" s="57">
        <v>489.0</v>
      </c>
      <c r="E52" s="57">
        <v>336.0</v>
      </c>
      <c r="F52" s="57">
        <v>345.0</v>
      </c>
      <c r="G52" s="57">
        <v>288.0</v>
      </c>
      <c r="H52" s="57">
        <v>329.0</v>
      </c>
      <c r="I52" s="57">
        <v>272.0</v>
      </c>
      <c r="J52" s="57">
        <v>2059.0</v>
      </c>
    </row>
    <row r="53">
      <c r="A53" s="57" t="s">
        <v>50</v>
      </c>
      <c r="B53" s="57" t="s">
        <v>68</v>
      </c>
      <c r="C53" s="57" t="s">
        <v>70</v>
      </c>
      <c r="D53" s="57">
        <v>350.0</v>
      </c>
      <c r="E53" s="57">
        <v>225.0</v>
      </c>
      <c r="F53" s="57">
        <v>216.0</v>
      </c>
      <c r="G53" s="57">
        <v>197.0</v>
      </c>
      <c r="H53" s="57">
        <v>203.0</v>
      </c>
      <c r="I53" s="57">
        <v>196.0</v>
      </c>
      <c r="J53" s="57">
        <v>1387.0</v>
      </c>
    </row>
    <row r="54">
      <c r="A54" s="57" t="s">
        <v>50</v>
      </c>
      <c r="B54" s="57" t="s">
        <v>68</v>
      </c>
      <c r="C54" s="57" t="s">
        <v>71</v>
      </c>
      <c r="D54" s="57">
        <v>169.0</v>
      </c>
      <c r="E54" s="57">
        <v>126.0</v>
      </c>
      <c r="F54" s="57">
        <v>151.0</v>
      </c>
      <c r="G54" s="57">
        <v>124.0</v>
      </c>
      <c r="H54" s="57">
        <v>120.0</v>
      </c>
      <c r="I54" s="57">
        <v>115.0</v>
      </c>
      <c r="J54" s="57">
        <v>805.0</v>
      </c>
    </row>
    <row r="55">
      <c r="A55" s="57" t="s">
        <v>50</v>
      </c>
      <c r="B55" s="57" t="s">
        <v>68</v>
      </c>
      <c r="C55" s="57" t="s">
        <v>74</v>
      </c>
      <c r="D55" s="57">
        <v>105.0</v>
      </c>
      <c r="E55" s="57">
        <v>107.0</v>
      </c>
      <c r="F55" s="57">
        <v>108.0</v>
      </c>
      <c r="G55" s="57">
        <v>121.0</v>
      </c>
      <c r="H55" s="57">
        <v>122.0</v>
      </c>
      <c r="I55" s="57">
        <v>150.0</v>
      </c>
      <c r="J55" s="57">
        <v>713.0</v>
      </c>
    </row>
    <row r="56">
      <c r="A56" s="57" t="s">
        <v>50</v>
      </c>
      <c r="B56" s="57" t="s">
        <v>68</v>
      </c>
      <c r="C56" s="57" t="s">
        <v>72</v>
      </c>
      <c r="D56" s="57">
        <v>165.0</v>
      </c>
      <c r="E56" s="57">
        <v>82.0</v>
      </c>
      <c r="F56" s="57">
        <v>102.0</v>
      </c>
      <c r="G56" s="57">
        <v>136.0</v>
      </c>
      <c r="H56" s="57">
        <v>117.0</v>
      </c>
      <c r="I56" s="57">
        <v>110.0</v>
      </c>
      <c r="J56" s="57">
        <v>712.0</v>
      </c>
    </row>
    <row r="57">
      <c r="A57" s="57" t="s">
        <v>50</v>
      </c>
      <c r="B57" s="57" t="s">
        <v>68</v>
      </c>
      <c r="C57" s="57" t="s">
        <v>75</v>
      </c>
      <c r="D57" s="57">
        <v>25.0</v>
      </c>
      <c r="E57" s="57">
        <v>0.0</v>
      </c>
      <c r="F57" s="57">
        <v>0.0</v>
      </c>
      <c r="G57" s="57">
        <v>0.0</v>
      </c>
      <c r="H57" s="57">
        <v>0.0</v>
      </c>
      <c r="I57" s="57">
        <v>0.0</v>
      </c>
      <c r="J57" s="57">
        <v>25.0</v>
      </c>
    </row>
    <row r="58">
      <c r="A58" s="57" t="s">
        <v>76</v>
      </c>
      <c r="B58" s="57" t="s">
        <v>77</v>
      </c>
      <c r="C58" s="57" t="s">
        <v>79</v>
      </c>
      <c r="D58" s="57">
        <v>828.0</v>
      </c>
      <c r="E58" s="57">
        <v>514.0</v>
      </c>
      <c r="F58" s="57">
        <v>352.0</v>
      </c>
      <c r="G58" s="57">
        <v>263.0</v>
      </c>
      <c r="H58" s="57">
        <v>207.0</v>
      </c>
      <c r="I58" s="57">
        <v>150.0</v>
      </c>
      <c r="J58" s="57">
        <v>2314.0</v>
      </c>
    </row>
    <row r="59">
      <c r="A59" s="57" t="s">
        <v>76</v>
      </c>
      <c r="B59" s="57" t="s">
        <v>77</v>
      </c>
      <c r="C59" s="57" t="s">
        <v>78</v>
      </c>
      <c r="D59" s="57">
        <v>704.0</v>
      </c>
      <c r="E59" s="57">
        <v>394.0</v>
      </c>
      <c r="F59" s="57">
        <v>358.0</v>
      </c>
      <c r="G59" s="57">
        <v>257.0</v>
      </c>
      <c r="H59" s="57">
        <v>219.0</v>
      </c>
      <c r="I59" s="57">
        <v>176.0</v>
      </c>
      <c r="J59" s="57">
        <v>2108.0</v>
      </c>
    </row>
    <row r="60">
      <c r="A60" s="57" t="s">
        <v>76</v>
      </c>
      <c r="B60" s="57" t="s">
        <v>77</v>
      </c>
      <c r="C60" s="57" t="s">
        <v>82</v>
      </c>
      <c r="D60" s="57">
        <v>475.0</v>
      </c>
      <c r="E60" s="57">
        <v>384.0</v>
      </c>
      <c r="F60" s="57">
        <v>372.0</v>
      </c>
      <c r="G60" s="57">
        <v>344.0</v>
      </c>
      <c r="H60" s="57">
        <v>241.0</v>
      </c>
      <c r="I60" s="57">
        <v>211.0</v>
      </c>
      <c r="J60" s="57">
        <v>2027.0</v>
      </c>
    </row>
    <row r="61">
      <c r="A61" s="57" t="s">
        <v>76</v>
      </c>
      <c r="B61" s="57" t="s">
        <v>77</v>
      </c>
      <c r="C61" s="57" t="s">
        <v>84</v>
      </c>
      <c r="D61" s="57">
        <v>291.0</v>
      </c>
      <c r="E61" s="57">
        <v>234.0</v>
      </c>
      <c r="F61" s="57">
        <v>229.0</v>
      </c>
      <c r="G61" s="57">
        <v>209.0</v>
      </c>
      <c r="H61" s="57">
        <v>157.0</v>
      </c>
      <c r="I61" s="57">
        <v>100.0</v>
      </c>
      <c r="J61" s="57">
        <v>1220.0</v>
      </c>
    </row>
    <row r="62">
      <c r="A62" s="57" t="s">
        <v>76</v>
      </c>
      <c r="B62" s="57" t="s">
        <v>77</v>
      </c>
      <c r="C62" s="57" t="s">
        <v>81</v>
      </c>
      <c r="D62" s="57">
        <v>301.0</v>
      </c>
      <c r="E62" s="57">
        <v>265.0</v>
      </c>
      <c r="F62" s="57">
        <v>234.0</v>
      </c>
      <c r="G62" s="57">
        <v>147.0</v>
      </c>
      <c r="H62" s="57">
        <v>120.0</v>
      </c>
      <c r="I62" s="57">
        <v>107.0</v>
      </c>
      <c r="J62" s="57">
        <v>1174.0</v>
      </c>
    </row>
    <row r="63">
      <c r="A63" s="57" t="s">
        <v>76</v>
      </c>
      <c r="B63" s="57" t="s">
        <v>77</v>
      </c>
      <c r="C63" s="57" t="s">
        <v>83</v>
      </c>
      <c r="D63" s="57">
        <v>161.0</v>
      </c>
      <c r="E63" s="57">
        <v>140.0</v>
      </c>
      <c r="F63" s="57">
        <v>141.0</v>
      </c>
      <c r="G63" s="57">
        <v>100.0</v>
      </c>
      <c r="H63" s="57">
        <v>125.0</v>
      </c>
      <c r="I63" s="57">
        <v>83.0</v>
      </c>
      <c r="J63" s="57">
        <v>750.0</v>
      </c>
    </row>
    <row r="64">
      <c r="A64" s="57" t="s">
        <v>76</v>
      </c>
      <c r="B64" s="57" t="s">
        <v>77</v>
      </c>
      <c r="C64" s="57" t="s">
        <v>85</v>
      </c>
      <c r="D64" s="57">
        <v>143.0</v>
      </c>
      <c r="E64" s="57">
        <v>84.0</v>
      </c>
      <c r="F64" s="57">
        <v>106.0</v>
      </c>
      <c r="G64" s="57">
        <v>93.0</v>
      </c>
      <c r="H64" s="57">
        <v>70.0</v>
      </c>
      <c r="I64" s="57">
        <v>48.0</v>
      </c>
      <c r="J64" s="57">
        <v>544.0</v>
      </c>
    </row>
    <row r="65">
      <c r="A65" s="57" t="s">
        <v>76</v>
      </c>
      <c r="B65" s="57" t="s">
        <v>77</v>
      </c>
      <c r="C65" s="57" t="s">
        <v>86</v>
      </c>
      <c r="D65" s="57">
        <v>100.0</v>
      </c>
      <c r="E65" s="57">
        <v>91.0</v>
      </c>
      <c r="F65" s="57">
        <v>83.0</v>
      </c>
      <c r="G65" s="57">
        <v>82.0</v>
      </c>
      <c r="H65" s="57">
        <v>55.0</v>
      </c>
      <c r="I65" s="57">
        <v>64.0</v>
      </c>
      <c r="J65" s="57">
        <v>475.0</v>
      </c>
    </row>
    <row r="66">
      <c r="A66" s="57" t="s">
        <v>76</v>
      </c>
      <c r="B66" s="57" t="s">
        <v>77</v>
      </c>
      <c r="C66" s="57" t="s">
        <v>87</v>
      </c>
      <c r="D66" s="57">
        <v>106.0</v>
      </c>
      <c r="E66" s="57">
        <v>68.0</v>
      </c>
      <c r="F66" s="57">
        <v>56.0</v>
      </c>
      <c r="G66" s="57">
        <v>45.0</v>
      </c>
      <c r="H66" s="57">
        <v>38.0</v>
      </c>
      <c r="I66" s="57">
        <v>38.0</v>
      </c>
      <c r="J66" s="57">
        <v>351.0</v>
      </c>
    </row>
    <row r="67">
      <c r="A67" s="57" t="s">
        <v>76</v>
      </c>
      <c r="B67" s="57" t="s">
        <v>77</v>
      </c>
      <c r="C67" s="57" t="s">
        <v>89</v>
      </c>
      <c r="D67" s="57">
        <v>160.0</v>
      </c>
      <c r="E67" s="57">
        <v>116.0</v>
      </c>
      <c r="F67" s="57">
        <v>1.0</v>
      </c>
      <c r="G67" s="57">
        <v>0.0</v>
      </c>
      <c r="H67" s="57">
        <v>0.0</v>
      </c>
      <c r="I67" s="57">
        <v>0.0</v>
      </c>
      <c r="J67" s="57">
        <v>277.0</v>
      </c>
    </row>
    <row r="68">
      <c r="A68" s="57" t="s">
        <v>76</v>
      </c>
      <c r="B68" s="57" t="s">
        <v>77</v>
      </c>
      <c r="C68" s="57" t="s">
        <v>88</v>
      </c>
      <c r="D68" s="57">
        <v>46.0</v>
      </c>
      <c r="E68" s="57">
        <v>58.0</v>
      </c>
      <c r="F68" s="57">
        <v>60.0</v>
      </c>
      <c r="G68" s="57">
        <v>46.0</v>
      </c>
      <c r="H68" s="57">
        <v>34.0</v>
      </c>
      <c r="I68" s="57">
        <v>23.0</v>
      </c>
      <c r="J68" s="57">
        <v>267.0</v>
      </c>
    </row>
    <row r="69">
      <c r="A69" s="57" t="s">
        <v>76</v>
      </c>
      <c r="B69" s="57" t="s">
        <v>90</v>
      </c>
      <c r="C69" s="57" t="s">
        <v>95</v>
      </c>
      <c r="D69" s="57">
        <v>482.0</v>
      </c>
      <c r="E69" s="57">
        <v>465.0</v>
      </c>
      <c r="F69" s="57">
        <v>336.0</v>
      </c>
      <c r="G69" s="57">
        <v>254.0</v>
      </c>
      <c r="H69" s="57">
        <v>277.0</v>
      </c>
      <c r="I69" s="57">
        <v>199.0</v>
      </c>
      <c r="J69" s="57">
        <v>2013.0</v>
      </c>
    </row>
    <row r="70">
      <c r="A70" s="57" t="s">
        <v>76</v>
      </c>
      <c r="B70" s="57" t="s">
        <v>90</v>
      </c>
      <c r="C70" s="57" t="s">
        <v>91</v>
      </c>
      <c r="D70" s="57">
        <v>552.0</v>
      </c>
      <c r="E70" s="57">
        <v>401.0</v>
      </c>
      <c r="F70" s="57">
        <v>289.0</v>
      </c>
      <c r="G70" s="57">
        <v>228.0</v>
      </c>
      <c r="H70" s="57">
        <v>272.0</v>
      </c>
      <c r="I70" s="57">
        <v>242.0</v>
      </c>
      <c r="J70" s="57">
        <v>1984.0</v>
      </c>
    </row>
    <row r="71">
      <c r="A71" s="57" t="s">
        <v>76</v>
      </c>
      <c r="B71" s="57" t="s">
        <v>90</v>
      </c>
      <c r="C71" s="57" t="s">
        <v>94</v>
      </c>
      <c r="D71" s="57">
        <v>584.0</v>
      </c>
      <c r="E71" s="57">
        <v>432.0</v>
      </c>
      <c r="F71" s="57">
        <v>301.0</v>
      </c>
      <c r="G71" s="57">
        <v>246.0</v>
      </c>
      <c r="H71" s="57">
        <v>205.0</v>
      </c>
      <c r="I71" s="57">
        <v>139.0</v>
      </c>
      <c r="J71" s="57">
        <v>1907.0</v>
      </c>
    </row>
    <row r="72">
      <c r="A72" s="57" t="s">
        <v>76</v>
      </c>
      <c r="B72" s="57" t="s">
        <v>90</v>
      </c>
      <c r="C72" s="57" t="s">
        <v>96</v>
      </c>
      <c r="D72" s="57">
        <v>451.0</v>
      </c>
      <c r="E72" s="57">
        <v>355.0</v>
      </c>
      <c r="F72" s="57">
        <v>256.0</v>
      </c>
      <c r="G72" s="57">
        <v>205.0</v>
      </c>
      <c r="H72" s="57">
        <v>190.0</v>
      </c>
      <c r="I72" s="57">
        <v>144.0</v>
      </c>
      <c r="J72" s="57">
        <v>1601.0</v>
      </c>
    </row>
    <row r="73">
      <c r="A73" s="57" t="s">
        <v>76</v>
      </c>
      <c r="B73" s="57" t="s">
        <v>90</v>
      </c>
      <c r="C73" s="57" t="s">
        <v>97</v>
      </c>
      <c r="D73" s="57">
        <v>262.0</v>
      </c>
      <c r="E73" s="57">
        <v>179.0</v>
      </c>
      <c r="F73" s="57">
        <v>182.0</v>
      </c>
      <c r="G73" s="57">
        <v>139.0</v>
      </c>
      <c r="H73" s="57">
        <v>159.0</v>
      </c>
      <c r="I73" s="57">
        <v>104.0</v>
      </c>
      <c r="J73" s="57">
        <v>1025.0</v>
      </c>
    </row>
    <row r="74">
      <c r="A74" s="57" t="s">
        <v>76</v>
      </c>
      <c r="B74" s="57" t="s">
        <v>90</v>
      </c>
      <c r="C74" s="57" t="s">
        <v>93</v>
      </c>
      <c r="D74" s="57">
        <v>339.0</v>
      </c>
      <c r="E74" s="57">
        <v>190.0</v>
      </c>
      <c r="F74" s="57">
        <v>106.0</v>
      </c>
      <c r="G74" s="57">
        <v>115.0</v>
      </c>
      <c r="H74" s="57">
        <v>101.0</v>
      </c>
      <c r="I74" s="57">
        <v>143.0</v>
      </c>
      <c r="J74" s="57">
        <v>994.0</v>
      </c>
    </row>
    <row r="75">
      <c r="A75" s="57" t="s">
        <v>76</v>
      </c>
      <c r="B75" s="57" t="s">
        <v>90</v>
      </c>
      <c r="C75" s="57" t="s">
        <v>98</v>
      </c>
      <c r="D75" s="57">
        <v>220.0</v>
      </c>
      <c r="E75" s="57">
        <v>214.0</v>
      </c>
      <c r="F75" s="57">
        <v>146.0</v>
      </c>
      <c r="G75" s="57">
        <v>118.0</v>
      </c>
      <c r="H75" s="57">
        <v>122.0</v>
      </c>
      <c r="I75" s="57">
        <v>113.0</v>
      </c>
      <c r="J75" s="57">
        <v>933.0</v>
      </c>
    </row>
    <row r="76">
      <c r="A76" s="57" t="s">
        <v>76</v>
      </c>
      <c r="B76" s="57" t="s">
        <v>90</v>
      </c>
      <c r="C76" s="57" t="s">
        <v>99</v>
      </c>
      <c r="D76" s="57">
        <v>234.0</v>
      </c>
      <c r="E76" s="57">
        <v>154.0</v>
      </c>
      <c r="F76" s="57">
        <v>134.0</v>
      </c>
      <c r="G76" s="57">
        <v>128.0</v>
      </c>
      <c r="H76" s="57">
        <v>118.0</v>
      </c>
      <c r="I76" s="57">
        <v>120.0</v>
      </c>
      <c r="J76" s="57">
        <v>888.0</v>
      </c>
    </row>
    <row r="77">
      <c r="A77" s="57" t="s">
        <v>76</v>
      </c>
      <c r="B77" s="57" t="s">
        <v>90</v>
      </c>
      <c r="C77" s="57" t="s">
        <v>100</v>
      </c>
      <c r="D77" s="57">
        <v>302.0</v>
      </c>
      <c r="E77" s="57">
        <v>163.0</v>
      </c>
      <c r="F77" s="57">
        <v>115.0</v>
      </c>
      <c r="G77" s="57">
        <v>118.0</v>
      </c>
      <c r="H77" s="57">
        <v>98.0</v>
      </c>
      <c r="I77" s="57">
        <v>45.0</v>
      </c>
      <c r="J77" s="57">
        <v>841.0</v>
      </c>
    </row>
    <row r="78">
      <c r="A78" s="57" t="s">
        <v>76</v>
      </c>
      <c r="B78" s="57" t="s">
        <v>90</v>
      </c>
      <c r="C78" s="57" t="s">
        <v>101</v>
      </c>
      <c r="D78" s="57">
        <v>60.0</v>
      </c>
      <c r="E78" s="57">
        <v>0.0</v>
      </c>
      <c r="F78" s="57">
        <v>0.0</v>
      </c>
      <c r="G78" s="57">
        <v>0.0</v>
      </c>
      <c r="H78" s="57">
        <v>0.0</v>
      </c>
      <c r="I78" s="57">
        <v>0.0</v>
      </c>
      <c r="J78" s="57">
        <v>60.0</v>
      </c>
    </row>
    <row r="79">
      <c r="A79" s="57" t="s">
        <v>102</v>
      </c>
      <c r="B79" s="57" t="s">
        <v>103</v>
      </c>
      <c r="C79" s="57" t="s">
        <v>105</v>
      </c>
      <c r="D79" s="57">
        <v>655.0</v>
      </c>
      <c r="E79" s="57">
        <v>583.0</v>
      </c>
      <c r="F79" s="57">
        <v>567.0</v>
      </c>
      <c r="G79" s="57">
        <v>378.0</v>
      </c>
      <c r="H79" s="57">
        <v>334.0</v>
      </c>
      <c r="I79" s="57">
        <v>326.0</v>
      </c>
      <c r="J79" s="57">
        <v>2843.0</v>
      </c>
    </row>
    <row r="80">
      <c r="A80" s="57" t="s">
        <v>102</v>
      </c>
      <c r="B80" s="57" t="s">
        <v>103</v>
      </c>
      <c r="C80" s="57" t="s">
        <v>104</v>
      </c>
      <c r="D80" s="57">
        <v>759.0</v>
      </c>
      <c r="E80" s="57">
        <v>590.0</v>
      </c>
      <c r="F80" s="57">
        <v>518.0</v>
      </c>
      <c r="G80" s="57">
        <v>315.0</v>
      </c>
      <c r="H80" s="57">
        <v>341.0</v>
      </c>
      <c r="I80" s="57">
        <v>217.0</v>
      </c>
      <c r="J80" s="57">
        <v>2740.0</v>
      </c>
    </row>
    <row r="81">
      <c r="A81" s="57" t="s">
        <v>102</v>
      </c>
      <c r="B81" s="57" t="s">
        <v>103</v>
      </c>
      <c r="C81" s="57" t="s">
        <v>106</v>
      </c>
      <c r="D81" s="57">
        <v>593.0</v>
      </c>
      <c r="E81" s="57">
        <v>400.0</v>
      </c>
      <c r="F81" s="57">
        <v>243.0</v>
      </c>
      <c r="G81" s="57">
        <v>211.0</v>
      </c>
      <c r="H81" s="57">
        <v>198.0</v>
      </c>
      <c r="I81" s="57">
        <v>163.0</v>
      </c>
      <c r="J81" s="57">
        <v>1808.0</v>
      </c>
    </row>
    <row r="82">
      <c r="A82" s="57" t="s">
        <v>102</v>
      </c>
      <c r="B82" s="57" t="s">
        <v>103</v>
      </c>
      <c r="C82" s="57" t="s">
        <v>108</v>
      </c>
      <c r="D82" s="57">
        <v>416.0</v>
      </c>
      <c r="E82" s="57">
        <v>303.0</v>
      </c>
      <c r="F82" s="57">
        <v>322.0</v>
      </c>
      <c r="G82" s="57">
        <v>236.0</v>
      </c>
      <c r="H82" s="57">
        <v>185.0</v>
      </c>
      <c r="I82" s="57">
        <v>206.0</v>
      </c>
      <c r="J82" s="57">
        <v>1668.0</v>
      </c>
    </row>
    <row r="83">
      <c r="A83" s="57" t="s">
        <v>102</v>
      </c>
      <c r="B83" s="57" t="s">
        <v>103</v>
      </c>
      <c r="C83" s="57" t="s">
        <v>107</v>
      </c>
      <c r="D83" s="57">
        <v>559.0</v>
      </c>
      <c r="E83" s="57">
        <v>401.0</v>
      </c>
      <c r="F83" s="57">
        <v>215.0</v>
      </c>
      <c r="G83" s="57">
        <v>177.0</v>
      </c>
      <c r="H83" s="57">
        <v>160.0</v>
      </c>
      <c r="I83" s="57">
        <v>137.0</v>
      </c>
      <c r="J83" s="57">
        <v>1649.0</v>
      </c>
    </row>
    <row r="84">
      <c r="A84" s="57" t="s">
        <v>102</v>
      </c>
      <c r="B84" s="57" t="s">
        <v>103</v>
      </c>
      <c r="C84" s="57" t="s">
        <v>111</v>
      </c>
      <c r="D84" s="57">
        <v>370.0</v>
      </c>
      <c r="E84" s="57">
        <v>418.0</v>
      </c>
      <c r="F84" s="57">
        <v>287.0</v>
      </c>
      <c r="G84" s="57">
        <v>234.0</v>
      </c>
      <c r="H84" s="57">
        <v>170.0</v>
      </c>
      <c r="I84" s="57">
        <v>157.0</v>
      </c>
      <c r="J84" s="57">
        <v>1636.0</v>
      </c>
    </row>
    <row r="85">
      <c r="A85" s="57" t="s">
        <v>102</v>
      </c>
      <c r="B85" s="57" t="s">
        <v>103</v>
      </c>
      <c r="C85" s="57" t="s">
        <v>112</v>
      </c>
      <c r="D85" s="57">
        <v>531.0</v>
      </c>
      <c r="E85" s="57">
        <v>338.0</v>
      </c>
      <c r="F85" s="57">
        <v>180.0</v>
      </c>
      <c r="G85" s="57">
        <v>162.0</v>
      </c>
      <c r="H85" s="57">
        <v>151.0</v>
      </c>
      <c r="I85" s="57">
        <v>104.0</v>
      </c>
      <c r="J85" s="57">
        <v>1466.0</v>
      </c>
    </row>
    <row r="86">
      <c r="A86" s="57" t="s">
        <v>102</v>
      </c>
      <c r="B86" s="57" t="s">
        <v>103</v>
      </c>
      <c r="C86" s="57" t="s">
        <v>110</v>
      </c>
      <c r="D86" s="57">
        <v>470.0</v>
      </c>
      <c r="E86" s="57">
        <v>316.0</v>
      </c>
      <c r="F86" s="57">
        <v>215.0</v>
      </c>
      <c r="G86" s="57">
        <v>132.0</v>
      </c>
      <c r="H86" s="57">
        <v>120.0</v>
      </c>
      <c r="I86" s="57">
        <v>90.0</v>
      </c>
      <c r="J86" s="57">
        <v>1343.0</v>
      </c>
    </row>
    <row r="87">
      <c r="A87" s="57" t="s">
        <v>102</v>
      </c>
      <c r="B87" s="57" t="s">
        <v>103</v>
      </c>
      <c r="C87" s="57" t="s">
        <v>109</v>
      </c>
      <c r="D87" s="57">
        <v>262.0</v>
      </c>
      <c r="E87" s="57">
        <v>214.0</v>
      </c>
      <c r="F87" s="57">
        <v>216.0</v>
      </c>
      <c r="G87" s="57">
        <v>217.0</v>
      </c>
      <c r="H87" s="57">
        <v>218.0</v>
      </c>
      <c r="I87" s="57">
        <v>166.0</v>
      </c>
      <c r="J87" s="57">
        <v>1293.0</v>
      </c>
    </row>
    <row r="88">
      <c r="A88" s="57" t="s">
        <v>102</v>
      </c>
      <c r="B88" s="57" t="s">
        <v>103</v>
      </c>
      <c r="C88" s="57" t="s">
        <v>113</v>
      </c>
      <c r="D88" s="57">
        <v>338.0</v>
      </c>
      <c r="E88" s="57">
        <v>260.0</v>
      </c>
      <c r="F88" s="57">
        <v>198.0</v>
      </c>
      <c r="G88" s="57">
        <v>115.0</v>
      </c>
      <c r="H88" s="57">
        <v>118.0</v>
      </c>
      <c r="I88" s="57">
        <v>59.0</v>
      </c>
      <c r="J88" s="57">
        <v>1088.0</v>
      </c>
    </row>
    <row r="89">
      <c r="A89" s="57" t="s">
        <v>102</v>
      </c>
      <c r="B89" s="57" t="s">
        <v>103</v>
      </c>
      <c r="C89" s="57" t="s">
        <v>114</v>
      </c>
      <c r="D89" s="57">
        <v>250.0</v>
      </c>
      <c r="E89" s="57">
        <v>11.0</v>
      </c>
      <c r="F89" s="57">
        <v>0.0</v>
      </c>
      <c r="G89" s="57">
        <v>0.0</v>
      </c>
      <c r="H89" s="57">
        <v>0.0</v>
      </c>
      <c r="I89" s="57">
        <v>0.0</v>
      </c>
      <c r="J89" s="57">
        <v>261.0</v>
      </c>
    </row>
    <row r="90">
      <c r="A90" s="57" t="s">
        <v>102</v>
      </c>
      <c r="B90" s="57" t="s">
        <v>115</v>
      </c>
      <c r="C90" s="57" t="s">
        <v>116</v>
      </c>
      <c r="D90" s="57">
        <v>484.0</v>
      </c>
      <c r="E90" s="57">
        <v>329.0</v>
      </c>
      <c r="F90" s="57">
        <v>313.0</v>
      </c>
      <c r="G90" s="57">
        <v>242.0</v>
      </c>
      <c r="H90" s="57">
        <v>181.0</v>
      </c>
      <c r="I90" s="57">
        <v>195.0</v>
      </c>
      <c r="J90" s="57">
        <v>1744.0</v>
      </c>
    </row>
    <row r="91">
      <c r="A91" s="57" t="s">
        <v>102</v>
      </c>
      <c r="B91" s="57" t="s">
        <v>115</v>
      </c>
      <c r="C91" s="57" t="s">
        <v>118</v>
      </c>
      <c r="D91" s="57">
        <v>458.0</v>
      </c>
      <c r="E91" s="57">
        <v>372.0</v>
      </c>
      <c r="F91" s="57">
        <v>364.0</v>
      </c>
      <c r="G91" s="57">
        <v>212.0</v>
      </c>
      <c r="H91" s="57">
        <v>176.0</v>
      </c>
      <c r="I91" s="57">
        <v>123.0</v>
      </c>
      <c r="J91" s="57">
        <v>1705.0</v>
      </c>
    </row>
    <row r="92">
      <c r="A92" s="57" t="s">
        <v>102</v>
      </c>
      <c r="B92" s="57" t="s">
        <v>115</v>
      </c>
      <c r="C92" s="57" t="s">
        <v>119</v>
      </c>
      <c r="D92" s="57">
        <v>413.0</v>
      </c>
      <c r="E92" s="57">
        <v>333.0</v>
      </c>
      <c r="F92" s="57">
        <v>306.0</v>
      </c>
      <c r="G92" s="57">
        <v>235.0</v>
      </c>
      <c r="H92" s="57">
        <v>186.0</v>
      </c>
      <c r="I92" s="57">
        <v>161.0</v>
      </c>
      <c r="J92" s="57">
        <v>1634.0</v>
      </c>
    </row>
    <row r="93">
      <c r="A93" s="57" t="s">
        <v>102</v>
      </c>
      <c r="B93" s="57" t="s">
        <v>115</v>
      </c>
      <c r="C93" s="57" t="s">
        <v>117</v>
      </c>
      <c r="D93" s="57">
        <v>381.0</v>
      </c>
      <c r="E93" s="57">
        <v>257.0</v>
      </c>
      <c r="F93" s="57">
        <v>195.0</v>
      </c>
      <c r="G93" s="57">
        <v>179.0</v>
      </c>
      <c r="H93" s="57">
        <v>176.0</v>
      </c>
      <c r="I93" s="57">
        <v>247.0</v>
      </c>
      <c r="J93" s="57">
        <v>1435.0</v>
      </c>
    </row>
    <row r="94">
      <c r="A94" s="57" t="s">
        <v>102</v>
      </c>
      <c r="B94" s="57" t="s">
        <v>115</v>
      </c>
      <c r="C94" s="57" t="s">
        <v>121</v>
      </c>
      <c r="D94" s="57">
        <v>387.0</v>
      </c>
      <c r="E94" s="57">
        <v>266.0</v>
      </c>
      <c r="F94" s="57">
        <v>208.0</v>
      </c>
      <c r="G94" s="57">
        <v>122.0</v>
      </c>
      <c r="H94" s="57">
        <v>138.0</v>
      </c>
      <c r="I94" s="57">
        <v>138.0</v>
      </c>
      <c r="J94" s="57">
        <v>1259.0</v>
      </c>
    </row>
    <row r="95">
      <c r="A95" s="57" t="s">
        <v>102</v>
      </c>
      <c r="B95" s="57" t="s">
        <v>115</v>
      </c>
      <c r="C95" s="57" t="s">
        <v>123</v>
      </c>
      <c r="D95" s="57">
        <v>290.0</v>
      </c>
      <c r="E95" s="57">
        <v>235.0</v>
      </c>
      <c r="F95" s="57">
        <v>249.0</v>
      </c>
      <c r="G95" s="57">
        <v>161.0</v>
      </c>
      <c r="H95" s="57">
        <v>112.0</v>
      </c>
      <c r="I95" s="57">
        <v>57.0</v>
      </c>
      <c r="J95" s="57">
        <v>1104.0</v>
      </c>
    </row>
    <row r="96">
      <c r="A96" s="57" t="s">
        <v>102</v>
      </c>
      <c r="B96" s="57" t="s">
        <v>115</v>
      </c>
      <c r="C96" s="57" t="s">
        <v>122</v>
      </c>
      <c r="D96" s="57">
        <v>314.0</v>
      </c>
      <c r="E96" s="57">
        <v>199.0</v>
      </c>
      <c r="F96" s="57">
        <v>173.0</v>
      </c>
      <c r="G96" s="57">
        <v>133.0</v>
      </c>
      <c r="H96" s="57">
        <v>114.0</v>
      </c>
      <c r="I96" s="57">
        <v>129.0</v>
      </c>
      <c r="J96" s="57">
        <v>1062.0</v>
      </c>
    </row>
    <row r="97">
      <c r="A97" s="57" t="s">
        <v>102</v>
      </c>
      <c r="B97" s="57" t="s">
        <v>124</v>
      </c>
      <c r="C97" s="57" t="s">
        <v>125</v>
      </c>
      <c r="D97" s="57">
        <v>833.0</v>
      </c>
      <c r="E97" s="57">
        <v>617.0</v>
      </c>
      <c r="F97" s="57">
        <v>522.0</v>
      </c>
      <c r="G97" s="57">
        <v>445.0</v>
      </c>
      <c r="H97" s="57">
        <v>366.0</v>
      </c>
      <c r="I97" s="57">
        <v>263.0</v>
      </c>
      <c r="J97" s="57">
        <v>3046.0</v>
      </c>
    </row>
    <row r="98">
      <c r="A98" s="57" t="s">
        <v>102</v>
      </c>
      <c r="B98" s="57" t="s">
        <v>124</v>
      </c>
      <c r="C98" s="57" t="s">
        <v>127</v>
      </c>
      <c r="D98" s="57">
        <v>783.0</v>
      </c>
      <c r="E98" s="57">
        <v>632.0</v>
      </c>
      <c r="F98" s="57">
        <v>472.0</v>
      </c>
      <c r="G98" s="57">
        <v>363.0</v>
      </c>
      <c r="H98" s="57">
        <v>380.0</v>
      </c>
      <c r="I98" s="57">
        <v>402.0</v>
      </c>
      <c r="J98" s="57">
        <v>3032.0</v>
      </c>
    </row>
    <row r="99">
      <c r="A99" s="57" t="s">
        <v>102</v>
      </c>
      <c r="B99" s="57" t="s">
        <v>124</v>
      </c>
      <c r="C99" s="57" t="s">
        <v>129</v>
      </c>
      <c r="D99" s="57">
        <v>696.0</v>
      </c>
      <c r="E99" s="57">
        <v>493.0</v>
      </c>
      <c r="F99" s="57">
        <v>456.0</v>
      </c>
      <c r="G99" s="57">
        <v>376.0</v>
      </c>
      <c r="H99" s="57">
        <v>313.0</v>
      </c>
      <c r="I99" s="57">
        <v>244.0</v>
      </c>
      <c r="J99" s="57">
        <v>2578.0</v>
      </c>
    </row>
    <row r="100">
      <c r="A100" s="57" t="s">
        <v>102</v>
      </c>
      <c r="B100" s="57" t="s">
        <v>124</v>
      </c>
      <c r="C100" s="57" t="s">
        <v>126</v>
      </c>
      <c r="D100" s="57">
        <v>650.0</v>
      </c>
      <c r="E100" s="57">
        <v>508.0</v>
      </c>
      <c r="F100" s="57">
        <v>469.0</v>
      </c>
      <c r="G100" s="57">
        <v>369.0</v>
      </c>
      <c r="H100" s="57">
        <v>256.0</v>
      </c>
      <c r="I100" s="57">
        <v>206.0</v>
      </c>
      <c r="J100" s="57">
        <v>2458.0</v>
      </c>
    </row>
    <row r="101">
      <c r="A101" s="57" t="s">
        <v>102</v>
      </c>
      <c r="B101" s="57" t="s">
        <v>124</v>
      </c>
      <c r="C101" s="57" t="s">
        <v>128</v>
      </c>
      <c r="D101" s="57">
        <v>373.0</v>
      </c>
      <c r="E101" s="57">
        <v>333.0</v>
      </c>
      <c r="F101" s="57">
        <v>299.0</v>
      </c>
      <c r="G101" s="57">
        <v>212.0</v>
      </c>
      <c r="H101" s="57">
        <v>210.0</v>
      </c>
      <c r="I101" s="57">
        <v>169.0</v>
      </c>
      <c r="J101" s="57">
        <v>1596.0</v>
      </c>
    </row>
    <row r="102">
      <c r="A102" s="57" t="s">
        <v>130</v>
      </c>
      <c r="B102" s="57" t="s">
        <v>131</v>
      </c>
      <c r="C102" s="57" t="s">
        <v>132</v>
      </c>
      <c r="D102" s="57">
        <v>543.0</v>
      </c>
      <c r="E102" s="57">
        <v>362.0</v>
      </c>
      <c r="F102" s="57">
        <v>382.0</v>
      </c>
      <c r="G102" s="57">
        <v>368.0</v>
      </c>
      <c r="H102" s="57">
        <v>351.0</v>
      </c>
      <c r="I102" s="57">
        <v>348.0</v>
      </c>
      <c r="J102" s="57">
        <v>2354.0</v>
      </c>
    </row>
    <row r="103">
      <c r="A103" s="57" t="s">
        <v>130</v>
      </c>
      <c r="B103" s="57" t="s">
        <v>131</v>
      </c>
      <c r="C103" s="57" t="s">
        <v>134</v>
      </c>
      <c r="D103" s="57">
        <v>365.0</v>
      </c>
      <c r="E103" s="57">
        <v>250.0</v>
      </c>
      <c r="F103" s="57">
        <v>271.0</v>
      </c>
      <c r="G103" s="57">
        <v>259.0</v>
      </c>
      <c r="H103" s="57">
        <v>304.0</v>
      </c>
      <c r="I103" s="57">
        <v>267.0</v>
      </c>
      <c r="J103" s="57">
        <v>1716.0</v>
      </c>
    </row>
    <row r="104">
      <c r="A104" s="57" t="s">
        <v>130</v>
      </c>
      <c r="B104" s="57" t="s">
        <v>131</v>
      </c>
      <c r="C104" s="57" t="s">
        <v>133</v>
      </c>
      <c r="D104" s="57">
        <v>400.0</v>
      </c>
      <c r="E104" s="57">
        <v>253.0</v>
      </c>
      <c r="F104" s="57">
        <v>251.0</v>
      </c>
      <c r="G104" s="57">
        <v>257.0</v>
      </c>
      <c r="H104" s="57">
        <v>232.0</v>
      </c>
      <c r="I104" s="57">
        <v>248.0</v>
      </c>
      <c r="J104" s="57">
        <v>1641.0</v>
      </c>
    </row>
    <row r="105">
      <c r="A105" s="57" t="s">
        <v>130</v>
      </c>
      <c r="B105" s="57" t="s">
        <v>131</v>
      </c>
      <c r="C105" s="57" t="s">
        <v>135</v>
      </c>
      <c r="D105" s="57">
        <v>397.0</v>
      </c>
      <c r="E105" s="57">
        <v>235.0</v>
      </c>
      <c r="F105" s="57">
        <v>298.0</v>
      </c>
      <c r="G105" s="57">
        <v>222.0</v>
      </c>
      <c r="H105" s="57">
        <v>222.0</v>
      </c>
      <c r="I105" s="57">
        <v>232.0</v>
      </c>
      <c r="J105" s="57">
        <v>1606.0</v>
      </c>
    </row>
    <row r="106">
      <c r="A106" s="57" t="s">
        <v>130</v>
      </c>
      <c r="B106" s="57" t="s">
        <v>131</v>
      </c>
      <c r="C106" s="57" t="s">
        <v>136</v>
      </c>
      <c r="D106" s="57">
        <v>321.0</v>
      </c>
      <c r="E106" s="57">
        <v>196.0</v>
      </c>
      <c r="F106" s="57">
        <v>199.0</v>
      </c>
      <c r="G106" s="57">
        <v>202.0</v>
      </c>
      <c r="H106" s="57">
        <v>225.0</v>
      </c>
      <c r="I106" s="57">
        <v>186.0</v>
      </c>
      <c r="J106" s="57">
        <v>1329.0</v>
      </c>
    </row>
    <row r="107">
      <c r="A107" s="57" t="s">
        <v>130</v>
      </c>
      <c r="B107" s="57" t="s">
        <v>131</v>
      </c>
      <c r="C107" s="57" t="s">
        <v>137</v>
      </c>
      <c r="D107" s="57">
        <v>302.0</v>
      </c>
      <c r="E107" s="57">
        <v>212.0</v>
      </c>
      <c r="F107" s="57">
        <v>205.0</v>
      </c>
      <c r="G107" s="57">
        <v>181.0</v>
      </c>
      <c r="H107" s="57">
        <v>193.0</v>
      </c>
      <c r="I107" s="57">
        <v>190.0</v>
      </c>
      <c r="J107" s="57">
        <v>1283.0</v>
      </c>
    </row>
    <row r="108">
      <c r="A108" s="57" t="s">
        <v>130</v>
      </c>
      <c r="B108" s="57" t="s">
        <v>131</v>
      </c>
      <c r="C108" s="57" t="s">
        <v>138</v>
      </c>
      <c r="D108" s="57">
        <v>196.0</v>
      </c>
      <c r="E108" s="57">
        <v>133.0</v>
      </c>
      <c r="F108" s="57">
        <v>193.0</v>
      </c>
      <c r="G108" s="57">
        <v>176.0</v>
      </c>
      <c r="H108" s="57">
        <v>164.0</v>
      </c>
      <c r="I108" s="57">
        <v>133.0</v>
      </c>
      <c r="J108" s="57">
        <v>995.0</v>
      </c>
    </row>
    <row r="109">
      <c r="A109" s="57" t="s">
        <v>130</v>
      </c>
      <c r="B109" s="57" t="s">
        <v>131</v>
      </c>
      <c r="C109" s="57" t="s">
        <v>140</v>
      </c>
      <c r="D109" s="57">
        <v>155.0</v>
      </c>
      <c r="E109" s="57">
        <v>116.0</v>
      </c>
      <c r="F109" s="57">
        <v>116.0</v>
      </c>
      <c r="G109" s="57">
        <v>74.0</v>
      </c>
      <c r="H109" s="57">
        <v>76.0</v>
      </c>
      <c r="I109" s="57">
        <v>56.0</v>
      </c>
      <c r="J109" s="57">
        <v>593.0</v>
      </c>
    </row>
    <row r="110">
      <c r="A110" s="57" t="s">
        <v>130</v>
      </c>
      <c r="B110" s="57" t="s">
        <v>131</v>
      </c>
      <c r="C110" s="57" t="s">
        <v>139</v>
      </c>
      <c r="D110" s="57">
        <v>100.0</v>
      </c>
      <c r="E110" s="57">
        <v>62.0</v>
      </c>
      <c r="F110" s="57">
        <v>62.0</v>
      </c>
      <c r="G110" s="57">
        <v>39.0</v>
      </c>
      <c r="H110" s="57">
        <v>80.0</v>
      </c>
      <c r="I110" s="57">
        <v>111.0</v>
      </c>
      <c r="J110" s="57">
        <v>454.0</v>
      </c>
    </row>
    <row r="111">
      <c r="A111" s="57" t="s">
        <v>130</v>
      </c>
      <c r="B111" s="57" t="s">
        <v>141</v>
      </c>
      <c r="C111" s="57" t="s">
        <v>142</v>
      </c>
      <c r="D111" s="57">
        <v>613.0</v>
      </c>
      <c r="E111" s="57">
        <v>376.0</v>
      </c>
      <c r="F111" s="57">
        <v>393.0</v>
      </c>
      <c r="G111" s="57">
        <v>285.0</v>
      </c>
      <c r="H111" s="57">
        <v>302.0</v>
      </c>
      <c r="I111" s="57">
        <v>263.0</v>
      </c>
      <c r="J111" s="57">
        <v>2232.0</v>
      </c>
    </row>
    <row r="112">
      <c r="A112" s="57" t="s">
        <v>130</v>
      </c>
      <c r="B112" s="57" t="s">
        <v>141</v>
      </c>
      <c r="C112" s="57" t="s">
        <v>143</v>
      </c>
      <c r="D112" s="57">
        <v>550.0</v>
      </c>
      <c r="E112" s="57">
        <v>395.0</v>
      </c>
      <c r="F112" s="57">
        <v>328.0</v>
      </c>
      <c r="G112" s="57">
        <v>276.0</v>
      </c>
      <c r="H112" s="57">
        <v>297.0</v>
      </c>
      <c r="I112" s="57">
        <v>211.0</v>
      </c>
      <c r="J112" s="57">
        <v>2057.0</v>
      </c>
    </row>
    <row r="113">
      <c r="A113" s="57" t="s">
        <v>130</v>
      </c>
      <c r="B113" s="57" t="s">
        <v>141</v>
      </c>
      <c r="C113" s="57" t="s">
        <v>146</v>
      </c>
      <c r="D113" s="57">
        <v>199.0</v>
      </c>
      <c r="E113" s="57">
        <v>121.0</v>
      </c>
      <c r="F113" s="57">
        <v>125.0</v>
      </c>
      <c r="G113" s="57">
        <v>111.0</v>
      </c>
      <c r="H113" s="57">
        <v>122.0</v>
      </c>
      <c r="I113" s="57">
        <v>117.0</v>
      </c>
      <c r="J113" s="57">
        <v>795.0</v>
      </c>
    </row>
    <row r="114">
      <c r="A114" s="57" t="s">
        <v>130</v>
      </c>
      <c r="B114" s="57" t="s">
        <v>141</v>
      </c>
      <c r="C114" s="57" t="s">
        <v>147</v>
      </c>
      <c r="D114" s="57">
        <v>144.0</v>
      </c>
      <c r="E114" s="57">
        <v>135.0</v>
      </c>
      <c r="F114" s="57">
        <v>119.0</v>
      </c>
      <c r="G114" s="57">
        <v>119.0</v>
      </c>
      <c r="H114" s="57">
        <v>113.0</v>
      </c>
      <c r="I114" s="57">
        <v>128.0</v>
      </c>
      <c r="J114" s="57">
        <v>758.0</v>
      </c>
    </row>
    <row r="115">
      <c r="A115" s="57" t="s">
        <v>130</v>
      </c>
      <c r="B115" s="57" t="s">
        <v>141</v>
      </c>
      <c r="C115" s="57" t="s">
        <v>152</v>
      </c>
      <c r="D115" s="57">
        <v>247.0</v>
      </c>
      <c r="E115" s="57">
        <v>103.0</v>
      </c>
      <c r="F115" s="57">
        <v>61.0</v>
      </c>
      <c r="G115" s="57">
        <v>42.0</v>
      </c>
      <c r="H115" s="57">
        <v>44.0</v>
      </c>
      <c r="I115" s="57">
        <v>48.0</v>
      </c>
      <c r="J115" s="57">
        <v>545.0</v>
      </c>
    </row>
    <row r="116">
      <c r="A116" s="57" t="s">
        <v>130</v>
      </c>
      <c r="B116" s="57" t="s">
        <v>141</v>
      </c>
      <c r="C116" s="57" t="s">
        <v>151</v>
      </c>
      <c r="D116" s="57">
        <v>112.0</v>
      </c>
      <c r="E116" s="57">
        <v>100.0</v>
      </c>
      <c r="F116" s="57">
        <v>81.0</v>
      </c>
      <c r="G116" s="57">
        <v>65.0</v>
      </c>
      <c r="H116" s="57">
        <v>83.0</v>
      </c>
      <c r="I116" s="57">
        <v>101.0</v>
      </c>
      <c r="J116" s="57">
        <v>542.0</v>
      </c>
    </row>
    <row r="117">
      <c r="A117" s="57" t="s">
        <v>130</v>
      </c>
      <c r="B117" s="57" t="s">
        <v>141</v>
      </c>
      <c r="C117" s="57" t="s">
        <v>149</v>
      </c>
      <c r="D117" s="57">
        <v>102.0</v>
      </c>
      <c r="E117" s="57">
        <v>63.0</v>
      </c>
      <c r="F117" s="57">
        <v>58.0</v>
      </c>
      <c r="G117" s="57">
        <v>48.0</v>
      </c>
      <c r="H117" s="57">
        <v>85.0</v>
      </c>
      <c r="I117" s="57">
        <v>95.0</v>
      </c>
      <c r="J117" s="57">
        <v>451.0</v>
      </c>
    </row>
    <row r="118">
      <c r="A118" s="57" t="s">
        <v>130</v>
      </c>
      <c r="B118" s="57" t="s">
        <v>141</v>
      </c>
      <c r="C118" s="57" t="s">
        <v>153</v>
      </c>
      <c r="D118" s="57">
        <v>202.0</v>
      </c>
      <c r="E118" s="57">
        <v>115.0</v>
      </c>
      <c r="F118" s="57">
        <v>15.0</v>
      </c>
      <c r="G118" s="57">
        <v>0.0</v>
      </c>
      <c r="H118" s="57">
        <v>0.0</v>
      </c>
      <c r="I118" s="57">
        <v>0.0</v>
      </c>
      <c r="J118" s="57">
        <v>332.0</v>
      </c>
    </row>
    <row r="119">
      <c r="A119" s="57" t="s">
        <v>155</v>
      </c>
      <c r="B119" s="57" t="s">
        <v>156</v>
      </c>
      <c r="C119" s="57" t="s">
        <v>159</v>
      </c>
      <c r="D119" s="57">
        <v>343.0</v>
      </c>
      <c r="E119" s="57">
        <v>284.0</v>
      </c>
      <c r="F119" s="57">
        <v>376.0</v>
      </c>
      <c r="G119" s="57">
        <v>280.0</v>
      </c>
      <c r="H119" s="57">
        <v>277.0</v>
      </c>
      <c r="I119" s="57">
        <v>219.0</v>
      </c>
      <c r="J119" s="57">
        <v>1779.0</v>
      </c>
    </row>
    <row r="120">
      <c r="A120" s="57" t="s">
        <v>155</v>
      </c>
      <c r="B120" s="57" t="s">
        <v>156</v>
      </c>
      <c r="C120" s="57" t="s">
        <v>160</v>
      </c>
      <c r="D120" s="57">
        <v>277.0</v>
      </c>
      <c r="E120" s="57">
        <v>264.0</v>
      </c>
      <c r="F120" s="57">
        <v>256.0</v>
      </c>
      <c r="G120" s="57">
        <v>229.0</v>
      </c>
      <c r="H120" s="57">
        <v>294.0</v>
      </c>
      <c r="I120" s="57">
        <v>239.0</v>
      </c>
      <c r="J120" s="57">
        <v>1559.0</v>
      </c>
    </row>
    <row r="121">
      <c r="A121" s="57" t="s">
        <v>155</v>
      </c>
      <c r="B121" s="57" t="s">
        <v>156</v>
      </c>
      <c r="C121" s="57" t="s">
        <v>157</v>
      </c>
      <c r="D121" s="57">
        <v>254.0</v>
      </c>
      <c r="E121" s="57">
        <v>226.0</v>
      </c>
      <c r="F121" s="57">
        <v>260.0</v>
      </c>
      <c r="G121" s="57">
        <v>246.0</v>
      </c>
      <c r="H121" s="57">
        <v>207.0</v>
      </c>
      <c r="I121" s="57">
        <v>198.0</v>
      </c>
      <c r="J121" s="57">
        <v>1391.0</v>
      </c>
    </row>
    <row r="122">
      <c r="A122" s="57" t="s">
        <v>155</v>
      </c>
      <c r="B122" s="57" t="s">
        <v>156</v>
      </c>
      <c r="C122" s="57" t="s">
        <v>162</v>
      </c>
      <c r="D122" s="57">
        <v>354.0</v>
      </c>
      <c r="E122" s="57">
        <v>272.0</v>
      </c>
      <c r="F122" s="57">
        <v>212.0</v>
      </c>
      <c r="G122" s="57">
        <v>197.0</v>
      </c>
      <c r="H122" s="57">
        <v>198.0</v>
      </c>
      <c r="I122" s="57">
        <v>147.0</v>
      </c>
      <c r="J122" s="57">
        <v>1380.0</v>
      </c>
    </row>
    <row r="123">
      <c r="A123" s="57" t="s">
        <v>155</v>
      </c>
      <c r="B123" s="57" t="s">
        <v>156</v>
      </c>
      <c r="C123" s="57" t="s">
        <v>163</v>
      </c>
      <c r="D123" s="57">
        <v>199.0</v>
      </c>
      <c r="E123" s="57">
        <v>196.0</v>
      </c>
      <c r="F123" s="57">
        <v>199.0</v>
      </c>
      <c r="G123" s="57">
        <v>180.0</v>
      </c>
      <c r="H123" s="57">
        <v>172.0</v>
      </c>
      <c r="I123" s="57">
        <v>178.0</v>
      </c>
      <c r="J123" s="57">
        <v>1124.0</v>
      </c>
    </row>
    <row r="124">
      <c r="A124" s="57" t="s">
        <v>155</v>
      </c>
      <c r="B124" s="57" t="s">
        <v>156</v>
      </c>
      <c r="C124" s="57" t="s">
        <v>165</v>
      </c>
      <c r="D124" s="57">
        <v>222.0</v>
      </c>
      <c r="E124" s="57">
        <v>209.0</v>
      </c>
      <c r="F124" s="57">
        <v>174.0</v>
      </c>
      <c r="G124" s="57">
        <v>129.0</v>
      </c>
      <c r="H124" s="57">
        <v>142.0</v>
      </c>
      <c r="I124" s="57">
        <v>131.0</v>
      </c>
      <c r="J124" s="57">
        <v>1007.0</v>
      </c>
    </row>
    <row r="125">
      <c r="A125" s="57" t="s">
        <v>155</v>
      </c>
      <c r="B125" s="57" t="s">
        <v>156</v>
      </c>
      <c r="C125" s="57" t="s">
        <v>168</v>
      </c>
      <c r="D125" s="57">
        <v>154.0</v>
      </c>
      <c r="E125" s="57">
        <v>135.0</v>
      </c>
      <c r="F125" s="57">
        <v>156.0</v>
      </c>
      <c r="G125" s="57">
        <v>177.0</v>
      </c>
      <c r="H125" s="57">
        <v>150.0</v>
      </c>
      <c r="I125" s="57">
        <v>165.0</v>
      </c>
      <c r="J125" s="57">
        <v>937.0</v>
      </c>
    </row>
    <row r="126">
      <c r="A126" s="57" t="s">
        <v>155</v>
      </c>
      <c r="B126" s="57" t="s">
        <v>156</v>
      </c>
      <c r="C126" s="57" t="s">
        <v>166</v>
      </c>
      <c r="D126" s="57">
        <v>160.0</v>
      </c>
      <c r="E126" s="57">
        <v>150.0</v>
      </c>
      <c r="F126" s="57">
        <v>158.0</v>
      </c>
      <c r="G126" s="57">
        <v>117.0</v>
      </c>
      <c r="H126" s="57">
        <v>127.0</v>
      </c>
      <c r="I126" s="57">
        <v>123.0</v>
      </c>
      <c r="J126" s="57">
        <v>835.0</v>
      </c>
    </row>
    <row r="127">
      <c r="A127" s="57" t="s">
        <v>155</v>
      </c>
      <c r="B127" s="57" t="s">
        <v>156</v>
      </c>
      <c r="C127" s="57" t="s">
        <v>169</v>
      </c>
      <c r="D127" s="57">
        <v>140.0</v>
      </c>
      <c r="E127" s="57">
        <v>161.0</v>
      </c>
      <c r="F127" s="57">
        <v>143.0</v>
      </c>
      <c r="G127" s="57">
        <v>148.0</v>
      </c>
      <c r="H127" s="57">
        <v>134.0</v>
      </c>
      <c r="I127" s="57">
        <v>108.0</v>
      </c>
      <c r="J127" s="57">
        <v>834.0</v>
      </c>
    </row>
    <row r="128">
      <c r="A128" s="57" t="s">
        <v>155</v>
      </c>
      <c r="B128" s="57" t="s">
        <v>156</v>
      </c>
      <c r="C128" s="57" t="s">
        <v>170</v>
      </c>
      <c r="D128" s="57">
        <v>89.0</v>
      </c>
      <c r="E128" s="57">
        <v>63.0</v>
      </c>
      <c r="F128" s="57">
        <v>21.0</v>
      </c>
      <c r="G128" s="57">
        <v>0.0</v>
      </c>
      <c r="H128" s="57">
        <v>0.0</v>
      </c>
      <c r="I128" s="57">
        <v>0.0</v>
      </c>
      <c r="J128" s="57">
        <v>173.0</v>
      </c>
    </row>
    <row r="129">
      <c r="A129" s="57" t="s">
        <v>155</v>
      </c>
      <c r="B129" s="57" t="s">
        <v>144</v>
      </c>
      <c r="C129" s="57" t="s">
        <v>148</v>
      </c>
      <c r="D129" s="57">
        <v>255.0</v>
      </c>
      <c r="E129" s="57">
        <v>166.0</v>
      </c>
      <c r="F129" s="57">
        <v>201.0</v>
      </c>
      <c r="G129" s="57">
        <v>160.0</v>
      </c>
      <c r="H129" s="57">
        <v>147.0</v>
      </c>
      <c r="I129" s="57">
        <v>145.0</v>
      </c>
      <c r="J129" s="57">
        <v>1074.0</v>
      </c>
    </row>
    <row r="130">
      <c r="A130" s="57" t="s">
        <v>155</v>
      </c>
      <c r="B130" s="57" t="s">
        <v>144</v>
      </c>
      <c r="C130" s="57" t="s">
        <v>161</v>
      </c>
      <c r="D130" s="57">
        <v>299.0</v>
      </c>
      <c r="E130" s="57">
        <v>145.0</v>
      </c>
      <c r="F130" s="57">
        <v>148.0</v>
      </c>
      <c r="G130" s="57">
        <v>146.0</v>
      </c>
      <c r="H130" s="57">
        <v>157.0</v>
      </c>
      <c r="I130" s="57">
        <v>153.0</v>
      </c>
      <c r="J130" s="57">
        <v>1048.0</v>
      </c>
    </row>
    <row r="131">
      <c r="A131" s="57" t="s">
        <v>155</v>
      </c>
      <c r="B131" s="57" t="s">
        <v>144</v>
      </c>
      <c r="C131" s="57" t="s">
        <v>154</v>
      </c>
      <c r="D131" s="57">
        <v>215.0</v>
      </c>
      <c r="E131" s="57">
        <v>119.0</v>
      </c>
      <c r="F131" s="57">
        <v>126.0</v>
      </c>
      <c r="G131" s="57">
        <v>129.0</v>
      </c>
      <c r="H131" s="57">
        <v>165.0</v>
      </c>
      <c r="I131" s="57">
        <v>113.0</v>
      </c>
      <c r="J131" s="57">
        <v>867.0</v>
      </c>
    </row>
    <row r="132">
      <c r="A132" s="57" t="s">
        <v>155</v>
      </c>
      <c r="B132" s="57" t="s">
        <v>144</v>
      </c>
      <c r="C132" s="57" t="s">
        <v>164</v>
      </c>
      <c r="D132" s="57">
        <v>166.0</v>
      </c>
      <c r="E132" s="57">
        <v>120.0</v>
      </c>
      <c r="F132" s="57">
        <v>140.0</v>
      </c>
      <c r="G132" s="57">
        <v>156.0</v>
      </c>
      <c r="H132" s="57">
        <v>168.0</v>
      </c>
      <c r="I132" s="57">
        <v>87.0</v>
      </c>
      <c r="J132" s="57">
        <v>837.0</v>
      </c>
    </row>
    <row r="133">
      <c r="A133" s="57" t="s">
        <v>155</v>
      </c>
      <c r="B133" s="57" t="s">
        <v>144</v>
      </c>
      <c r="C133" s="57" t="s">
        <v>145</v>
      </c>
      <c r="D133" s="57">
        <v>168.0</v>
      </c>
      <c r="E133" s="57">
        <v>134.0</v>
      </c>
      <c r="F133" s="57">
        <v>107.0</v>
      </c>
      <c r="G133" s="57">
        <v>74.0</v>
      </c>
      <c r="H133" s="57">
        <v>92.0</v>
      </c>
      <c r="I133" s="57">
        <v>58.0</v>
      </c>
      <c r="J133" s="57">
        <v>633.0</v>
      </c>
    </row>
    <row r="134">
      <c r="A134" s="57" t="s">
        <v>155</v>
      </c>
      <c r="B134" s="57" t="s">
        <v>144</v>
      </c>
      <c r="C134" s="57" t="s">
        <v>158</v>
      </c>
      <c r="D134" s="57">
        <v>131.0</v>
      </c>
      <c r="E134" s="57">
        <v>116.0</v>
      </c>
      <c r="F134" s="57">
        <v>94.0</v>
      </c>
      <c r="G134" s="57">
        <v>99.0</v>
      </c>
      <c r="H134" s="57">
        <v>96.0</v>
      </c>
      <c r="I134" s="57">
        <v>61.0</v>
      </c>
      <c r="J134" s="57">
        <v>597.0</v>
      </c>
    </row>
    <row r="135">
      <c r="A135" s="57" t="s">
        <v>155</v>
      </c>
      <c r="B135" s="57" t="s">
        <v>144</v>
      </c>
      <c r="C135" s="57" t="s">
        <v>150</v>
      </c>
      <c r="D135" s="57">
        <v>100.0</v>
      </c>
      <c r="E135" s="57">
        <v>76.0</v>
      </c>
      <c r="F135" s="57">
        <v>108.0</v>
      </c>
      <c r="G135" s="57">
        <v>57.0</v>
      </c>
      <c r="H135" s="57">
        <v>81.0</v>
      </c>
      <c r="I135" s="57">
        <v>71.0</v>
      </c>
      <c r="J135" s="57">
        <v>493.0</v>
      </c>
    </row>
    <row r="136">
      <c r="A136" s="57" t="s">
        <v>155</v>
      </c>
      <c r="B136" s="57" t="s">
        <v>144</v>
      </c>
      <c r="C136" s="57" t="s">
        <v>167</v>
      </c>
      <c r="D136" s="57">
        <v>124.0</v>
      </c>
      <c r="E136" s="57">
        <v>104.0</v>
      </c>
      <c r="F136" s="57">
        <v>69.0</v>
      </c>
      <c r="G136" s="57">
        <v>46.0</v>
      </c>
      <c r="H136" s="57">
        <v>55.0</v>
      </c>
      <c r="I136" s="57">
        <v>36.0</v>
      </c>
      <c r="J136" s="57">
        <v>434.0</v>
      </c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</sheetData>
  <autoFilter ref="$A$1:$Z$137">
    <sortState ref="A1:Z137">
      <sortCondition ref="A1:A137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2026-10-04T21:10:14Z</dcterms:created>
</cp:coreProperties>
</file>